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TSOM\Assignment-07-2511800-Capstone Proj\P1\"/>
    </mc:Choice>
  </mc:AlternateContent>
  <xr:revisionPtr revIDLastSave="0" documentId="13_ncr:1_{B7359574-C943-4496-9579-6F416C5FE155}" xr6:coauthVersionLast="47" xr6:coauthVersionMax="47" xr10:uidLastSave="{00000000-0000-0000-0000-000000000000}"/>
  <bookViews>
    <workbookView xWindow="-98" yWindow="-98" windowWidth="21795" windowHeight="12975" tabRatio="500" activeTab="6" xr2:uid="{00000000-000D-0000-FFFF-FFFF00000000}"/>
  </bookViews>
  <sheets>
    <sheet name="📋 Index" sheetId="1" r:id="rId1"/>
    <sheet name="P1. By Region" sheetId="2" r:id="rId2"/>
    <sheet name="P2. Cat &amp; SubCat" sheetId="3" r:id="rId3"/>
    <sheet name="P3. Ship Mode" sheetId="4" r:id="rId4"/>
    <sheet name="P4. Segment Margin" sheetId="5" r:id="rId5"/>
    <sheet name="P5. Non-Revenue" sheetId="6" r:id="rId6"/>
    <sheet name="P6. Monthly Trend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<sst xmlns="http://schemas.openxmlformats.org/spreadsheetml/2006/main" count="360" uniqueCount="259">
  <si>
    <t>PIVOT SUMMARY REPORT  |  Retail Orders Dataset  |  Task 8</t>
  </si>
  <si>
    <t>Dataset: raw_orders.xlsx  •  900 Records  •  Tasks 1–6 Data  •  Completed Revenue Base: ₹5,964,435.12  •  June 2026</t>
  </si>
  <si>
    <t>PIVOT SUMMARY CONTENTS</t>
  </si>
  <si>
    <t>#</t>
  </si>
  <si>
    <t>Pivot Summary</t>
  </si>
  <si>
    <t>Primary Dimension</t>
  </si>
  <si>
    <t>Metrics</t>
  </si>
  <si>
    <t>Notes</t>
  </si>
  <si>
    <t>Sheet</t>
  </si>
  <si>
    <t>Sales &amp; Profit by Region</t>
  </si>
  <si>
    <t>Region (5 regions)</t>
  </si>
  <si>
    <t>Total Sales, Total Profit, Margin %, Order Count</t>
  </si>
  <si>
    <t>Sorted by Sales ↓  |  Colour-scaled margin</t>
  </si>
  <si>
    <t>P1. By Region</t>
  </si>
  <si>
    <t>Sales &amp; Profit by Category &amp; Sub-Category</t>
  </si>
  <si>
    <t>Category → Sub-Category</t>
  </si>
  <si>
    <t>Sales, Profit, Margin %, Avg Order Value</t>
  </si>
  <si>
    <t>Sorted within category by Sales ↓</t>
  </si>
  <si>
    <t>P2. Cat &amp; SubCat</t>
  </si>
  <si>
    <t>Order Count by Ship Mode</t>
  </si>
  <si>
    <t>Ship Mode (4 modes)</t>
  </si>
  <si>
    <t>Order Count, % Share, Avg Sales, Total Sales</t>
  </si>
  <si>
    <t>Filtered: Completed orders only</t>
  </si>
  <si>
    <t>P3. Ship Mode</t>
  </si>
  <si>
    <t>Profit Margin by Customer Segment</t>
  </si>
  <si>
    <t>Segment (3 segments)</t>
  </si>
  <si>
    <t>Avg Margin, Min, Max, Total Profit, Order Count</t>
  </si>
  <si>
    <t>Sorted by Avg Margin ↓  |  Colour-scaled</t>
  </si>
  <si>
    <t>P4. Segment Margin</t>
  </si>
  <si>
    <t>Refunded / Cancelled / Failed by Region</t>
  </si>
  <si>
    <t>Region × Order Status</t>
  </si>
  <si>
    <t>Order Count, Total Sales at Risk, % of Region Orders</t>
  </si>
  <si>
    <t>Filtered: non-revenue statuses only</t>
  </si>
  <si>
    <t>P5. Non-Revenue</t>
  </si>
  <si>
    <t>Monthly Sales Trend</t>
  </si>
  <si>
    <t>Year-Month (24 months)</t>
  </si>
  <si>
    <t>Monthly Sales, Profit, MoM Growth %, Cumulative</t>
  </si>
  <si>
    <t>Sorted by date ↑  |  Conditional formatting</t>
  </si>
  <si>
    <t>P6. Monthly Trend</t>
  </si>
  <si>
    <t>ℹ  'Completed' orders (392) form the revenue base of ₹5,964,435.12. Cancelled (145), Failed (67), and Returned/Refunded (154) are excluded from revenue pivots but appear in Pivot 5. Profit figures use calculated_profit (Task 6). Sorting and filtering applied in Pivots 1, 2, 3, 4, 5 per task requirements.</t>
  </si>
  <si>
    <t>PIVOT 1 — SALES &amp; PROFIT BY REGION  (Sorted by Total Sales ↓, All Orders)</t>
  </si>
  <si>
    <t>Scope: ALL 900 orders. Sorted high→low by Total Sales. Completed Sales = revenue from Completed orders only (Task 5 BR-06/BR-07). Colour scale applied to Profit Margin % column.</t>
  </si>
  <si>
    <t>Region</t>
  </si>
  <si>
    <t>All Orders</t>
  </si>
  <si>
    <t>Total Sales (₹)</t>
  </si>
  <si>
    <t>Total Profit (₹)</t>
  </si>
  <si>
    <t>Profit Margin %</t>
  </si>
  <si>
    <t>Avg Order Value (₹)</t>
  </si>
  <si>
    <t>Completed Sales (₹)</t>
  </si>
  <si>
    <t>Completed Orders</t>
  </si>
  <si>
    <t>North</t>
  </si>
  <si>
    <t>West</t>
  </si>
  <si>
    <t>South</t>
  </si>
  <si>
    <t>East</t>
  </si>
  <si>
    <t>Unknown</t>
  </si>
  <si>
    <t>GRAND TOTAL</t>
  </si>
  <si>
    <t>PIVOT 2 — SALES &amp; PROFIT BY CATEGORY &amp; SUB-CATEGORY  (Sorted by Sales ↓ within Category)</t>
  </si>
  <si>
    <t>Scope: Completed orders only (392). Category rows show subtotals (bold). Sub-category rows sorted high→low by Sales within each category. Colour scale on Profit Margin % per sub-category.</t>
  </si>
  <si>
    <t>Category</t>
  </si>
  <si>
    <t>Sub-Category</t>
  </si>
  <si>
    <t>Orders</t>
  </si>
  <si>
    <t>Margin %</t>
  </si>
  <si>
    <t>Avg Order (₹)</t>
  </si>
  <si>
    <t>% of Cat Sales</t>
  </si>
  <si>
    <t>▶  Appliances</t>
  </si>
  <si>
    <t>100%</t>
  </si>
  <si>
    <t>Kitchen</t>
  </si>
  <si>
    <t>29.4%</t>
  </si>
  <si>
    <t>AC</t>
  </si>
  <si>
    <t>24.1%</t>
  </si>
  <si>
    <t>Washing</t>
  </si>
  <si>
    <t>18.3%</t>
  </si>
  <si>
    <t>Refrigerator</t>
  </si>
  <si>
    <t>15.0%</t>
  </si>
  <si>
    <t>Microwave</t>
  </si>
  <si>
    <t>13.2%</t>
  </si>
  <si>
    <t>▶  Electronics</t>
  </si>
  <si>
    <t>Tablets</t>
  </si>
  <si>
    <t>23.4%</t>
  </si>
  <si>
    <t>Mobiles</t>
  </si>
  <si>
    <t>22.4%</t>
  </si>
  <si>
    <t>Cameras</t>
  </si>
  <si>
    <t>19.9%</t>
  </si>
  <si>
    <t>Accessories</t>
  </si>
  <si>
    <t>17.6%</t>
  </si>
  <si>
    <t>Laptops</t>
  </si>
  <si>
    <t>16.8%</t>
  </si>
  <si>
    <t>▶  Furniture</t>
  </si>
  <si>
    <t>Chairs</t>
  </si>
  <si>
    <t>27.1%</t>
  </si>
  <si>
    <t>Tables</t>
  </si>
  <si>
    <t>Beds</t>
  </si>
  <si>
    <t>22.1%</t>
  </si>
  <si>
    <t>Shelves</t>
  </si>
  <si>
    <t>19.5%</t>
  </si>
  <si>
    <t>Wardrobes</t>
  </si>
  <si>
    <t>7.2%</t>
  </si>
  <si>
    <t>▶  Clothing</t>
  </si>
  <si>
    <t>Kids</t>
  </si>
  <si>
    <t>25.9%</t>
  </si>
  <si>
    <t>Men</t>
  </si>
  <si>
    <t>23.7%</t>
  </si>
  <si>
    <t>Women</t>
  </si>
  <si>
    <t>21.8%</t>
  </si>
  <si>
    <t>16.4%</t>
  </si>
  <si>
    <t>Footwear</t>
  </si>
  <si>
    <t>12.2%</t>
  </si>
  <si>
    <t>▶  Office Supplies</t>
  </si>
  <si>
    <t>Filing</t>
  </si>
  <si>
    <t>24.0%</t>
  </si>
  <si>
    <t>Stationery</t>
  </si>
  <si>
    <t>21.7%</t>
  </si>
  <si>
    <t>Pens</t>
  </si>
  <si>
    <t>20.9%</t>
  </si>
  <si>
    <t>Binders</t>
  </si>
  <si>
    <t>17.7%</t>
  </si>
  <si>
    <t>Paper</t>
  </si>
  <si>
    <t>15.6%</t>
  </si>
  <si>
    <t>PIVOT 3 — ORDER COUNT BY SHIP MODE  (Filter: Completed Orders | Sorted by Count ↓)</t>
  </si>
  <si>
    <t>FILTER APPLIED: Completed orders only (392 of 900). Non-Completed orders shown for reference in 'All Orders' column but excluded from revenue/margin metrics. Sorted by Completed Order Count descending.</t>
  </si>
  <si>
    <t>Ship Mode</t>
  </si>
  <si>
    <t>All Orders (ref)</t>
  </si>
  <si>
    <t>% of Completed</t>
  </si>
  <si>
    <t>Avg Sale/Order (₹)</t>
  </si>
  <si>
    <t>Standard Class</t>
  </si>
  <si>
    <t>49.9%</t>
  </si>
  <si>
    <t>Second Class</t>
  </si>
  <si>
    <t>25.7%</t>
  </si>
  <si>
    <t>First Class</t>
  </si>
  <si>
    <t>16.9%</t>
  </si>
  <si>
    <t>Same Day</t>
  </si>
  <si>
    <t>7.5%</t>
  </si>
  <si>
    <t>COMPLETED TOTAL (filtered)</t>
  </si>
  <si>
    <t>—</t>
  </si>
  <si>
    <t>PIVOT 4 — PROFIT MARGIN BY CUSTOMER SEGMENT  (Sorted by Avg Margin ↓ | Completed Orders)</t>
  </si>
  <si>
    <t>Scope: Completed orders only (392). Sorted highest to lowest by Average Profit Margin %. Min/Max show the range of individual order margins within each segment. Colour scale on Average Margin column.</t>
  </si>
  <si>
    <t>Segment</t>
  </si>
  <si>
    <t>Avg Margin %</t>
  </si>
  <si>
    <t>Min Margin %</t>
  </si>
  <si>
    <t>Max Margin %</t>
  </si>
  <si>
    <t>Corporate</t>
  </si>
  <si>
    <t>Consumer</t>
  </si>
  <si>
    <t>Home Office</t>
  </si>
  <si>
    <t>ALL SEGMENTS</t>
  </si>
  <si>
    <t>PIVOT 5 — NON-REVENUE ORDERS BY REGION  (Filter: Cancelled + Failed + Returned + Refunded)</t>
  </si>
  <si>
    <t>FILTER APPLIED: Non-revenue order statuses only (Cancelled BR-06, Failed BR-07, Returned/Refunded BR-08). Sales at Risk = original sales value; revenue was NOT recognised for these orders. % of Region = proportion of that region's total orders affected.</t>
  </si>
  <si>
    <t>Order Status</t>
  </si>
  <si>
    <t>Order Count</t>
  </si>
  <si>
    <t>Sales at Risk (₹)</t>
  </si>
  <si>
    <t>% of Region Orders</t>
  </si>
  <si>
    <t>Business Rule</t>
  </si>
  <si>
    <t>(Filter applied ↑)</t>
  </si>
  <si>
    <t>↓ sorted by region</t>
  </si>
  <si>
    <t>Cancelled</t>
  </si>
  <si>
    <t>17.0%</t>
  </si>
  <si>
    <t>BR-06: Excluded from revenue</t>
  </si>
  <si>
    <t>Failed</t>
  </si>
  <si>
    <t>1.2%</t>
  </si>
  <si>
    <t>BR-07: Excluded from revenue</t>
  </si>
  <si>
    <t>Refunded</t>
  </si>
  <si>
    <t>5.8%</t>
  </si>
  <si>
    <t>BR-08: Separately summarised</t>
  </si>
  <si>
    <t>Returned</t>
  </si>
  <si>
    <t>12.3%</t>
  </si>
  <si>
    <t>21.2%</t>
  </si>
  <si>
    <t>5.5%</t>
  </si>
  <si>
    <t>9.8%</t>
  </si>
  <si>
    <t>1.4%</t>
  </si>
  <si>
    <t>6.6%</t>
  </si>
  <si>
    <t>10.3%</t>
  </si>
  <si>
    <t>18.8%</t>
  </si>
  <si>
    <t>9.4%</t>
  </si>
  <si>
    <t>6.2%</t>
  </si>
  <si>
    <t>16.6%</t>
  </si>
  <si>
    <t>1.3%</t>
  </si>
  <si>
    <t>16.2%</t>
  </si>
  <si>
    <t>Summary by Non-Revenue Status (across all regions)</t>
  </si>
  <si>
    <t>Total Orders</t>
  </si>
  <si>
    <t>% of All 900</t>
  </si>
  <si>
    <t>Total Sales at Risk (₹)</t>
  </si>
  <si>
    <t>Revenue Impact</t>
  </si>
  <si>
    <t>Resolution</t>
  </si>
  <si>
    <t>Not recognised</t>
  </si>
  <si>
    <t>No action</t>
  </si>
  <si>
    <t>11.9%</t>
  </si>
  <si>
    <t>At risk / pending refund</t>
  </si>
  <si>
    <t>Finance team to process</t>
  </si>
  <si>
    <t>PIVOT 6 — MONTHLY SALES TREND  (Sorted by Date ↑ | All Orders | MoM Growth %)</t>
  </si>
  <si>
    <t>Scope: All 900 orders. Sorted chronologically oldest→newest. MoM Growth % = month-over-month change in total sales. Cumulative Sales tracks running total. Conditional formatting: green = MoM gain, red = MoM decline.</t>
  </si>
  <si>
    <t>Year</t>
  </si>
  <si>
    <t>Month</t>
  </si>
  <si>
    <t>Month Label</t>
  </si>
  <si>
    <t>MoM Growth %</t>
  </si>
  <si>
    <t>Jan</t>
  </si>
  <si>
    <t>2024-01</t>
  </si>
  <si>
    <t>Feb</t>
  </si>
  <si>
    <t>2024-02</t>
  </si>
  <si>
    <t>-2.4%</t>
  </si>
  <si>
    <t>Mar</t>
  </si>
  <si>
    <t>2024-03</t>
  </si>
  <si>
    <t>+7.1%</t>
  </si>
  <si>
    <t>Apr</t>
  </si>
  <si>
    <t>2024-04</t>
  </si>
  <si>
    <t>+30.1%</t>
  </si>
  <si>
    <t>May</t>
  </si>
  <si>
    <t>2024-05</t>
  </si>
  <si>
    <t>-35.8%</t>
  </si>
  <si>
    <t>Jun</t>
  </si>
  <si>
    <t>2024-06</t>
  </si>
  <si>
    <t>-1.1%</t>
  </si>
  <si>
    <t>Jul</t>
  </si>
  <si>
    <t>2024-07</t>
  </si>
  <si>
    <t>-9.4%</t>
  </si>
  <si>
    <t>Aug</t>
  </si>
  <si>
    <t>2024-08</t>
  </si>
  <si>
    <t>-0.5%</t>
  </si>
  <si>
    <t>Sep</t>
  </si>
  <si>
    <t>2024-09</t>
  </si>
  <si>
    <t>+8.5%</t>
  </si>
  <si>
    <t>Oct</t>
  </si>
  <si>
    <t>2024-10</t>
  </si>
  <si>
    <t>+23.9%</t>
  </si>
  <si>
    <t>Nov</t>
  </si>
  <si>
    <t>2024-11</t>
  </si>
  <si>
    <t>+2.2%</t>
  </si>
  <si>
    <t>Dec</t>
  </si>
  <si>
    <t>2024-12</t>
  </si>
  <si>
    <t>+25.4%</t>
  </si>
  <si>
    <t>2025-01</t>
  </si>
  <si>
    <t>+24.4%</t>
  </si>
  <si>
    <t>2025-02</t>
  </si>
  <si>
    <t>-52.8%</t>
  </si>
  <si>
    <t>2025-03</t>
  </si>
  <si>
    <t>+32.2%</t>
  </si>
  <si>
    <t>2025-04</t>
  </si>
  <si>
    <t>+18.0%</t>
  </si>
  <si>
    <t>2025-05</t>
  </si>
  <si>
    <t>-49.0%</t>
  </si>
  <si>
    <t>2025-06</t>
  </si>
  <si>
    <t>+50.0%</t>
  </si>
  <si>
    <t>2025-07</t>
  </si>
  <si>
    <t>-16.7%</t>
  </si>
  <si>
    <t>2025-08</t>
  </si>
  <si>
    <t>+3.6%</t>
  </si>
  <si>
    <t>2025-09</t>
  </si>
  <si>
    <t>-8.4%</t>
  </si>
  <si>
    <t>2025-10</t>
  </si>
  <si>
    <t>+88.6%</t>
  </si>
  <si>
    <t>2025-11</t>
  </si>
  <si>
    <t>-66.9%</t>
  </si>
  <si>
    <t>2025-12</t>
  </si>
  <si>
    <t>+68.8%</t>
  </si>
  <si>
    <t>TOTAL</t>
  </si>
  <si>
    <t>All months</t>
  </si>
  <si>
    <t>2024–2025</t>
  </si>
  <si>
    <t>Year-over-Year Summary</t>
  </si>
  <si>
    <t>Months</t>
  </si>
  <si>
    <t>Avg Monthly Sales (₹)</t>
  </si>
  <si>
    <t>Best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</si>
</sst>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44444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C2C2C"/>
      <name val="Arial"/>
      <charset val="1"/>
    </font>
    <font>
      <sz val="10"/>
      <color rgb="FF2C2C2C"/>
      <name val="Arial"/>
      <charset val="1"/>
    </font>
    <font>
      <i/>
      <sz val="10"/>
      <color rgb="FF555555"/>
      <name val="Arial"/>
      <charset val="1"/>
    </font>
    <font>
      <b/>
      <sz val="10"/>
      <color rgb="FF2E75B6"/>
      <name val="Arial"/>
      <charset val="1"/>
    </font>
    <font>
      <i/>
      <sz val="9"/>
      <color rgb="FF444444"/>
      <name val="Arial"/>
      <charset val="1"/>
    </font>
    <font>
      <b/>
      <sz val="12"/>
      <color rgb="FFFFFFFF"/>
      <name val="Arial"/>
      <charset val="1"/>
    </font>
    <font>
      <b/>
      <sz val="11"/>
      <color rgb="FF2C2C2C"/>
      <name val="Arial"/>
      <charset val="1"/>
    </font>
    <font>
      <i/>
      <sz val="10"/>
      <color rgb="FF777777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sz val="10"/>
      <color rgb="FF999999"/>
      <name val="Arial"/>
      <charset val="1"/>
    </font>
    <font>
      <b/>
      <sz val="10"/>
      <color rgb="FF7F4D00"/>
      <name val="Arial"/>
      <charset val="1"/>
    </font>
    <font>
      <sz val="10"/>
      <color rgb="FF9C0006"/>
      <name val="Arial"/>
      <charset val="1"/>
    </font>
    <font>
      <sz val="10"/>
      <color rgb="FF375623"/>
      <name val="Arial"/>
      <charset val="1"/>
    </font>
    <font>
      <b/>
      <sz val="10"/>
      <color rgb="FF37562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E2D1F0"/>
      </patternFill>
    </fill>
    <fill>
      <patternFill patternType="solid">
        <fgColor rgb="FFE2D1F0"/>
        <bgColor rgb="FFDEEAF1"/>
      </patternFill>
    </fill>
    <fill>
      <patternFill patternType="solid">
        <fgColor rgb="FFFFC7CE"/>
        <bgColor rgb="FFE2D1F0"/>
      </patternFill>
    </fill>
    <fill>
      <patternFill patternType="solid">
        <fgColor rgb="FFFFEB9C"/>
        <bgColor rgb="FFE2EFDA"/>
      </patternFill>
    </fill>
    <fill>
      <patternFill patternType="solid">
        <fgColor rgb="FFF2F2F2"/>
        <bgColor rgb="FFE2EFDA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4" fontId="6" fillId="5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4" fontId="6" fillId="9" borderId="2" xfId="0" applyNumberFormat="1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" fontId="6" fillId="8" borderId="2" xfId="0" applyNumberFormat="1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4" fontId="6" fillId="10" borderId="2" xfId="0" applyNumberFormat="1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center" vertical="center"/>
    </xf>
    <xf numFmtId="164" fontId="5" fillId="9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4" fontId="6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4" fillId="8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2D1F0"/>
      <rgbColor rgb="FF777777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375623"/>
      <rgbColor rgb="FF444444"/>
      <rgbColor rgb="FF7F4D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95" zoomScaleNormal="95" workbookViewId="0">
      <selection activeCell="A10" sqref="A10"/>
    </sheetView>
  </sheetViews>
  <sheetFormatPr defaultColWidth="8.59765625" defaultRowHeight="14.25" x14ac:dyDescent="0.45"/>
  <cols>
    <col min="1" max="1" width="3" style="72" customWidth="1"/>
    <col min="2" max="2" width="30" style="72" customWidth="1"/>
    <col min="3" max="3" width="39.265625" style="72" bestFit="1" customWidth="1"/>
    <col min="4" max="4" width="22" style="72" customWidth="1"/>
    <col min="5" max="5" width="44.73046875" style="72" bestFit="1" customWidth="1"/>
    <col min="6" max="6" width="37" style="72" bestFit="1" customWidth="1"/>
    <col min="7" max="7" width="18.796875" style="72" bestFit="1" customWidth="1"/>
    <col min="8" max="16384" width="8.59765625" style="72"/>
  </cols>
  <sheetData>
    <row r="1" spans="1:7" ht="43.5" customHeight="1" x14ac:dyDescent="0.45">
      <c r="B1" s="97" t="s">
        <v>0</v>
      </c>
      <c r="C1" s="97"/>
      <c r="D1" s="97"/>
      <c r="E1" s="97"/>
      <c r="F1" s="97"/>
    </row>
    <row r="2" spans="1:7" ht="18" customHeight="1" x14ac:dyDescent="0.45">
      <c r="B2" s="98" t="s">
        <v>1</v>
      </c>
      <c r="C2" s="98"/>
      <c r="D2" s="98"/>
      <c r="E2" s="98"/>
      <c r="F2" s="98"/>
    </row>
    <row r="4" spans="1:7" ht="21.75" customHeight="1" x14ac:dyDescent="0.45">
      <c r="B4" s="99" t="s">
        <v>2</v>
      </c>
      <c r="C4" s="99"/>
      <c r="D4" s="99"/>
      <c r="E4" s="99"/>
      <c r="F4" s="99"/>
    </row>
    <row r="5" spans="1:7" ht="19.5" customHeight="1" x14ac:dyDescent="0.45">
      <c r="A5" s="73" t="s">
        <v>3</v>
      </c>
      <c r="B5" s="73" t="s">
        <v>4</v>
      </c>
      <c r="C5" s="73" t="s">
        <v>5</v>
      </c>
      <c r="D5" s="73" t="s">
        <v>6</v>
      </c>
      <c r="E5" s="73" t="s">
        <v>7</v>
      </c>
      <c r="F5" s="73" t="s">
        <v>8</v>
      </c>
    </row>
    <row r="6" spans="1:7" ht="21.75" customHeight="1" x14ac:dyDescent="0.45">
      <c r="B6" s="74">
        <v>1</v>
      </c>
      <c r="C6" s="75" t="s">
        <v>9</v>
      </c>
      <c r="D6" s="4" t="s">
        <v>10</v>
      </c>
      <c r="E6" s="4" t="s">
        <v>11</v>
      </c>
      <c r="F6" s="76" t="s">
        <v>12</v>
      </c>
      <c r="G6" s="77" t="s">
        <v>13</v>
      </c>
    </row>
    <row r="7" spans="1:7" ht="21.75" customHeight="1" x14ac:dyDescent="0.45">
      <c r="B7" s="74">
        <v>2</v>
      </c>
      <c r="C7" s="75" t="s">
        <v>14</v>
      </c>
      <c r="D7" s="4" t="s">
        <v>15</v>
      </c>
      <c r="E7" s="4" t="s">
        <v>16</v>
      </c>
      <c r="F7" s="76" t="s">
        <v>17</v>
      </c>
      <c r="G7" s="77" t="s">
        <v>18</v>
      </c>
    </row>
    <row r="8" spans="1:7" ht="21.75" customHeight="1" x14ac:dyDescent="0.45">
      <c r="B8" s="78">
        <v>3</v>
      </c>
      <c r="C8" s="79" t="s">
        <v>19</v>
      </c>
      <c r="D8" s="7" t="s">
        <v>20</v>
      </c>
      <c r="E8" s="7" t="s">
        <v>21</v>
      </c>
      <c r="F8" s="80" t="s">
        <v>22</v>
      </c>
      <c r="G8" s="81" t="s">
        <v>23</v>
      </c>
    </row>
    <row r="9" spans="1:7" ht="21.75" customHeight="1" x14ac:dyDescent="0.45">
      <c r="B9" s="82">
        <v>4</v>
      </c>
      <c r="C9" s="83" t="s">
        <v>24</v>
      </c>
      <c r="D9" s="9" t="s">
        <v>25</v>
      </c>
      <c r="E9" s="9" t="s">
        <v>26</v>
      </c>
      <c r="F9" s="84" t="s">
        <v>27</v>
      </c>
      <c r="G9" s="85" t="s">
        <v>28</v>
      </c>
    </row>
    <row r="10" spans="1:7" ht="21.75" customHeight="1" x14ac:dyDescent="0.45">
      <c r="B10" s="86">
        <v>5</v>
      </c>
      <c r="C10" s="87" t="s">
        <v>29</v>
      </c>
      <c r="D10" s="11" t="s">
        <v>30</v>
      </c>
      <c r="E10" s="11" t="s">
        <v>31</v>
      </c>
      <c r="F10" s="88" t="s">
        <v>32</v>
      </c>
      <c r="G10" s="89" t="s">
        <v>33</v>
      </c>
    </row>
    <row r="11" spans="1:7" ht="21.75" customHeight="1" x14ac:dyDescent="0.45">
      <c r="B11" s="90">
        <v>6</v>
      </c>
      <c r="C11" s="91" t="s">
        <v>34</v>
      </c>
      <c r="D11" s="13" t="s">
        <v>35</v>
      </c>
      <c r="E11" s="13" t="s">
        <v>36</v>
      </c>
      <c r="F11" s="92" t="s">
        <v>37</v>
      </c>
      <c r="G11" s="93" t="s">
        <v>38</v>
      </c>
    </row>
    <row r="13" spans="1:7" ht="39.75" customHeight="1" x14ac:dyDescent="0.45">
      <c r="B13" s="95" t="s">
        <v>39</v>
      </c>
      <c r="C13" s="95"/>
      <c r="D13" s="95"/>
      <c r="E13" s="95"/>
      <c r="F13" s="95"/>
    </row>
  </sheetData>
  <mergeCells count="4">
    <mergeCell ref="B1:F1"/>
    <mergeCell ref="B2:F2"/>
    <mergeCell ref="B4:F4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95" zoomScaleNormal="95" workbookViewId="0">
      <pane ySplit="3" topLeftCell="A4" activePane="bottomLeft" state="frozen"/>
      <selection pane="bottomLeft" activeCell="C3" sqref="C3"/>
    </sheetView>
  </sheetViews>
  <sheetFormatPr defaultColWidth="8.59765625" defaultRowHeight="14.25" x14ac:dyDescent="0.45"/>
  <cols>
    <col min="1" max="1" width="18" customWidth="1"/>
    <col min="2" max="3" width="16" customWidth="1"/>
    <col min="4" max="5" width="14" customWidth="1"/>
    <col min="6" max="7" width="16" customWidth="1"/>
    <col min="8" max="8" width="22" customWidth="1"/>
  </cols>
  <sheetData>
    <row r="1" spans="1:8" ht="25.5" customHeight="1" x14ac:dyDescent="0.45">
      <c r="A1" s="94" t="s">
        <v>40</v>
      </c>
      <c r="B1" s="94"/>
      <c r="C1" s="94"/>
      <c r="D1" s="94"/>
      <c r="E1" s="94"/>
      <c r="F1" s="94"/>
      <c r="G1" s="94"/>
      <c r="H1" s="94"/>
    </row>
    <row r="2" spans="1:8" ht="27.75" customHeight="1" x14ac:dyDescent="0.45">
      <c r="A2" s="95" t="s">
        <v>41</v>
      </c>
      <c r="B2" s="95"/>
      <c r="C2" s="95"/>
      <c r="D2" s="95"/>
      <c r="E2" s="95"/>
      <c r="F2" s="95"/>
      <c r="G2" s="95"/>
      <c r="H2" s="95"/>
    </row>
    <row r="3" spans="1:8" ht="19.5" customHeight="1" x14ac:dyDescent="0.45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</row>
    <row r="4" spans="1:8" ht="19.5" customHeight="1" x14ac:dyDescent="0.45">
      <c r="A4" s="3" t="s">
        <v>50</v>
      </c>
      <c r="B4" s="14">
        <v>255</v>
      </c>
      <c r="C4" s="15">
        <v>3824523.65</v>
      </c>
      <c r="D4" s="15">
        <v>502779.59</v>
      </c>
      <c r="E4" s="16">
        <v>13.15</v>
      </c>
      <c r="F4" s="15">
        <v>14998.13</v>
      </c>
      <c r="G4" s="15">
        <v>2016229.86</v>
      </c>
      <c r="H4" s="14">
        <v>132</v>
      </c>
    </row>
    <row r="5" spans="1:8" ht="19.5" customHeight="1" x14ac:dyDescent="0.45">
      <c r="A5" s="17" t="s">
        <v>51</v>
      </c>
      <c r="B5" s="18">
        <v>229</v>
      </c>
      <c r="C5" s="19">
        <v>3137144.64</v>
      </c>
      <c r="D5" s="19">
        <v>387841.38</v>
      </c>
      <c r="E5" s="20">
        <v>12.36</v>
      </c>
      <c r="F5" s="19">
        <v>13699.32</v>
      </c>
      <c r="G5" s="19">
        <v>1324791</v>
      </c>
      <c r="H5" s="18">
        <v>109</v>
      </c>
    </row>
    <row r="6" spans="1:8" ht="19.5" customHeight="1" x14ac:dyDescent="0.45">
      <c r="A6" s="12" t="s">
        <v>52</v>
      </c>
      <c r="B6" s="21">
        <v>213</v>
      </c>
      <c r="C6" s="22">
        <v>2736671.79</v>
      </c>
      <c r="D6" s="22">
        <v>280050.03999999998</v>
      </c>
      <c r="E6" s="23">
        <v>10.23</v>
      </c>
      <c r="F6" s="22">
        <v>12848.22</v>
      </c>
      <c r="G6" s="22">
        <v>1415950.62</v>
      </c>
      <c r="H6" s="21">
        <v>111</v>
      </c>
    </row>
    <row r="7" spans="1:8" ht="19.5" customHeight="1" x14ac:dyDescent="0.45">
      <c r="A7" s="6" t="s">
        <v>53</v>
      </c>
      <c r="B7" s="24">
        <v>171</v>
      </c>
      <c r="C7" s="25">
        <v>2323755.35</v>
      </c>
      <c r="D7" s="25">
        <v>215876.67</v>
      </c>
      <c r="E7" s="26">
        <v>9.2899999999999991</v>
      </c>
      <c r="F7" s="25">
        <v>13589.21</v>
      </c>
      <c r="G7" s="25">
        <v>1030281.97</v>
      </c>
      <c r="H7" s="24">
        <v>87</v>
      </c>
    </row>
    <row r="8" spans="1:8" ht="19.5" customHeight="1" x14ac:dyDescent="0.45">
      <c r="A8" s="10" t="s">
        <v>54</v>
      </c>
      <c r="B8" s="27">
        <v>32</v>
      </c>
      <c r="C8" s="28">
        <v>354336.91</v>
      </c>
      <c r="D8" s="28">
        <v>32794.559999999998</v>
      </c>
      <c r="E8" s="29">
        <v>9.26</v>
      </c>
      <c r="F8" s="28">
        <v>11073.03</v>
      </c>
      <c r="G8" s="28">
        <v>177181.59</v>
      </c>
      <c r="H8" s="27">
        <v>16</v>
      </c>
    </row>
    <row r="9" spans="1:8" ht="19.5" customHeight="1" x14ac:dyDescent="0.45">
      <c r="A9" s="30" t="s">
        <v>55</v>
      </c>
      <c r="B9" s="31">
        <v>900</v>
      </c>
      <c r="C9" s="32">
        <v>12376432.34</v>
      </c>
      <c r="D9" s="32">
        <v>1419342.24</v>
      </c>
      <c r="E9" s="33">
        <v>11.47</v>
      </c>
      <c r="F9" s="32">
        <v>13751.59</v>
      </c>
      <c r="G9" s="32">
        <v>5964435.04</v>
      </c>
      <c r="H9" s="31">
        <v>455</v>
      </c>
    </row>
  </sheetData>
  <mergeCells count="2">
    <mergeCell ref="A1:H1"/>
    <mergeCell ref="A2:H2"/>
  </mergeCells>
  <conditionalFormatting sqref="E4:E8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5" zoomScaleNormal="95" workbookViewId="0">
      <pane ySplit="3" topLeftCell="A4" activePane="bottomLeft" state="frozen"/>
      <selection pane="bottomLeft" activeCell="I9" sqref="I9"/>
    </sheetView>
  </sheetViews>
  <sheetFormatPr defaultColWidth="8.59765625" defaultRowHeight="14.25" x14ac:dyDescent="0.45"/>
  <cols>
    <col min="1" max="1" width="20" customWidth="1"/>
    <col min="2" max="2" width="22" customWidth="1"/>
    <col min="3" max="3" width="14" customWidth="1"/>
    <col min="4" max="5" width="16" customWidth="1"/>
    <col min="6" max="7" width="14" customWidth="1"/>
    <col min="8" max="8" width="20" customWidth="1"/>
  </cols>
  <sheetData>
    <row r="1" spans="1:8" ht="25.5" customHeight="1" x14ac:dyDescent="0.45">
      <c r="A1" s="94" t="s">
        <v>56</v>
      </c>
      <c r="B1" s="94"/>
      <c r="C1" s="94"/>
      <c r="D1" s="94"/>
      <c r="E1" s="94"/>
      <c r="F1" s="94"/>
      <c r="G1" s="94"/>
      <c r="H1" s="94"/>
    </row>
    <row r="2" spans="1:8" ht="27.75" customHeight="1" x14ac:dyDescent="0.45">
      <c r="A2" s="95" t="s">
        <v>57</v>
      </c>
      <c r="B2" s="95"/>
      <c r="C2" s="95"/>
      <c r="D2" s="95"/>
      <c r="E2" s="95"/>
      <c r="F2" s="95"/>
      <c r="G2" s="95"/>
      <c r="H2" s="95"/>
    </row>
    <row r="3" spans="1:8" ht="19.5" customHeight="1" x14ac:dyDescent="0.45">
      <c r="A3" s="1" t="s">
        <v>58</v>
      </c>
      <c r="B3" s="1" t="s">
        <v>59</v>
      </c>
      <c r="C3" s="1" t="s">
        <v>60</v>
      </c>
      <c r="D3" s="1" t="s">
        <v>44</v>
      </c>
      <c r="E3" s="1" t="s">
        <v>45</v>
      </c>
      <c r="F3" s="1" t="s">
        <v>61</v>
      </c>
      <c r="G3" s="1" t="s">
        <v>62</v>
      </c>
      <c r="H3" s="1" t="s">
        <v>63</v>
      </c>
    </row>
    <row r="4" spans="1:8" ht="21.75" customHeight="1" x14ac:dyDescent="0.45">
      <c r="A4" s="102" t="s">
        <v>64</v>
      </c>
      <c r="B4" s="102"/>
      <c r="C4" s="34">
        <v>94</v>
      </c>
      <c r="D4" s="35">
        <v>2785241.84</v>
      </c>
      <c r="E4" s="35">
        <v>315685.78000000003</v>
      </c>
      <c r="F4" s="36">
        <v>11.33</v>
      </c>
      <c r="G4" s="35">
        <v>29630.23</v>
      </c>
      <c r="H4" s="34" t="s">
        <v>65</v>
      </c>
    </row>
    <row r="5" spans="1:8" ht="18" customHeight="1" x14ac:dyDescent="0.45">
      <c r="A5" s="37"/>
      <c r="B5" s="37" t="s">
        <v>66</v>
      </c>
      <c r="C5" s="38">
        <v>23</v>
      </c>
      <c r="D5" s="39">
        <v>818955.81</v>
      </c>
      <c r="E5" s="39">
        <v>88623.039999999994</v>
      </c>
      <c r="F5" s="40">
        <v>10.82</v>
      </c>
      <c r="G5" s="39">
        <v>35606.769999999997</v>
      </c>
      <c r="H5" s="38" t="s">
        <v>67</v>
      </c>
    </row>
    <row r="6" spans="1:8" ht="18" customHeight="1" x14ac:dyDescent="0.45">
      <c r="A6" s="37"/>
      <c r="B6" s="37" t="s">
        <v>68</v>
      </c>
      <c r="C6" s="38">
        <v>23</v>
      </c>
      <c r="D6" s="39">
        <v>670761.59</v>
      </c>
      <c r="E6" s="39">
        <v>73363.88</v>
      </c>
      <c r="F6" s="40">
        <v>10.94</v>
      </c>
      <c r="G6" s="39">
        <v>29163.55</v>
      </c>
      <c r="H6" s="38" t="s">
        <v>69</v>
      </c>
    </row>
    <row r="7" spans="1:8" ht="18" customHeight="1" x14ac:dyDescent="0.45">
      <c r="A7" s="37"/>
      <c r="B7" s="37" t="s">
        <v>70</v>
      </c>
      <c r="C7" s="38">
        <v>18</v>
      </c>
      <c r="D7" s="39">
        <v>510508.71</v>
      </c>
      <c r="E7" s="39">
        <v>60386.21</v>
      </c>
      <c r="F7" s="40">
        <v>11.83</v>
      </c>
      <c r="G7" s="39">
        <v>28361.599999999999</v>
      </c>
      <c r="H7" s="38" t="s">
        <v>71</v>
      </c>
    </row>
    <row r="8" spans="1:8" ht="18" customHeight="1" x14ac:dyDescent="0.45">
      <c r="A8" s="37"/>
      <c r="B8" s="37" t="s">
        <v>72</v>
      </c>
      <c r="C8" s="38">
        <v>16</v>
      </c>
      <c r="D8" s="39">
        <v>416780.62</v>
      </c>
      <c r="E8" s="39">
        <v>52301.55</v>
      </c>
      <c r="F8" s="40">
        <v>12.55</v>
      </c>
      <c r="G8" s="39">
        <v>26048.79</v>
      </c>
      <c r="H8" s="38" t="s">
        <v>73</v>
      </c>
    </row>
    <row r="9" spans="1:8" ht="18" customHeight="1" x14ac:dyDescent="0.45">
      <c r="A9" s="37"/>
      <c r="B9" s="37" t="s">
        <v>74</v>
      </c>
      <c r="C9" s="38">
        <v>14</v>
      </c>
      <c r="D9" s="39">
        <v>368235.11</v>
      </c>
      <c r="E9" s="39">
        <v>41011.1</v>
      </c>
      <c r="F9" s="40">
        <v>11.14</v>
      </c>
      <c r="G9" s="39">
        <v>26302.51</v>
      </c>
      <c r="H9" s="38" t="s">
        <v>75</v>
      </c>
    </row>
    <row r="10" spans="1:8" ht="21.75" customHeight="1" x14ac:dyDescent="0.45">
      <c r="A10" s="103" t="s">
        <v>76</v>
      </c>
      <c r="B10" s="103"/>
      <c r="C10" s="41">
        <v>85</v>
      </c>
      <c r="D10" s="42">
        <v>1660155.42</v>
      </c>
      <c r="E10" s="42">
        <v>192204.14</v>
      </c>
      <c r="F10" s="43">
        <v>11.58</v>
      </c>
      <c r="G10" s="42">
        <v>19531.240000000002</v>
      </c>
      <c r="H10" s="41" t="s">
        <v>65</v>
      </c>
    </row>
    <row r="11" spans="1:8" ht="18" customHeight="1" x14ac:dyDescent="0.45">
      <c r="A11" s="37"/>
      <c r="B11" s="37" t="s">
        <v>77</v>
      </c>
      <c r="C11" s="38">
        <v>21</v>
      </c>
      <c r="D11" s="39">
        <v>388012.07</v>
      </c>
      <c r="E11" s="39">
        <v>42437.49</v>
      </c>
      <c r="F11" s="40">
        <v>10.94</v>
      </c>
      <c r="G11" s="39">
        <v>18476.77</v>
      </c>
      <c r="H11" s="38" t="s">
        <v>78</v>
      </c>
    </row>
    <row r="12" spans="1:8" ht="18" customHeight="1" x14ac:dyDescent="0.45">
      <c r="A12" s="37"/>
      <c r="B12" s="37" t="s">
        <v>79</v>
      </c>
      <c r="C12" s="38">
        <v>20</v>
      </c>
      <c r="D12" s="39">
        <v>371602.09</v>
      </c>
      <c r="E12" s="39">
        <v>44292.67</v>
      </c>
      <c r="F12" s="40">
        <v>11.92</v>
      </c>
      <c r="G12" s="39">
        <v>18580.099999999999</v>
      </c>
      <c r="H12" s="38" t="s">
        <v>80</v>
      </c>
    </row>
    <row r="13" spans="1:8" ht="18" customHeight="1" x14ac:dyDescent="0.45">
      <c r="A13" s="37"/>
      <c r="B13" s="37" t="s">
        <v>81</v>
      </c>
      <c r="C13" s="38">
        <v>15</v>
      </c>
      <c r="D13" s="39">
        <v>329882.82</v>
      </c>
      <c r="E13" s="39">
        <v>39573.160000000003</v>
      </c>
      <c r="F13" s="40">
        <v>12</v>
      </c>
      <c r="G13" s="39">
        <v>21992.19</v>
      </c>
      <c r="H13" s="38" t="s">
        <v>82</v>
      </c>
    </row>
    <row r="14" spans="1:8" ht="18" customHeight="1" x14ac:dyDescent="0.45">
      <c r="A14" s="37"/>
      <c r="B14" s="37" t="s">
        <v>83</v>
      </c>
      <c r="C14" s="38">
        <v>15</v>
      </c>
      <c r="D14" s="39">
        <v>292293.21999999997</v>
      </c>
      <c r="E14" s="39">
        <v>35571.79</v>
      </c>
      <c r="F14" s="40">
        <v>12.17</v>
      </c>
      <c r="G14" s="39">
        <v>19486.21</v>
      </c>
      <c r="H14" s="38" t="s">
        <v>84</v>
      </c>
    </row>
    <row r="15" spans="1:8" ht="18" customHeight="1" x14ac:dyDescent="0.45">
      <c r="A15" s="37"/>
      <c r="B15" s="37" t="s">
        <v>85</v>
      </c>
      <c r="C15" s="38">
        <v>14</v>
      </c>
      <c r="D15" s="39">
        <v>278365.21999999997</v>
      </c>
      <c r="E15" s="39">
        <v>30329.03</v>
      </c>
      <c r="F15" s="40">
        <v>10.9</v>
      </c>
      <c r="G15" s="39">
        <v>19883.23</v>
      </c>
      <c r="H15" s="38" t="s">
        <v>86</v>
      </c>
    </row>
    <row r="16" spans="1:8" ht="21.75" customHeight="1" x14ac:dyDescent="0.45">
      <c r="A16" s="104" t="s">
        <v>87</v>
      </c>
      <c r="B16" s="104"/>
      <c r="C16" s="44">
        <v>95</v>
      </c>
      <c r="D16" s="45">
        <v>1172769.47</v>
      </c>
      <c r="E16" s="45">
        <v>136304.23000000001</v>
      </c>
      <c r="F16" s="46">
        <v>11.62</v>
      </c>
      <c r="G16" s="45">
        <v>12344.94</v>
      </c>
      <c r="H16" s="44" t="s">
        <v>65</v>
      </c>
    </row>
    <row r="17" spans="1:8" ht="18" customHeight="1" x14ac:dyDescent="0.45">
      <c r="A17" s="37"/>
      <c r="B17" s="37" t="s">
        <v>88</v>
      </c>
      <c r="C17" s="38">
        <v>23</v>
      </c>
      <c r="D17" s="39">
        <v>317435.58</v>
      </c>
      <c r="E17" s="39">
        <v>34042.949999999997</v>
      </c>
      <c r="F17" s="40">
        <v>10.72</v>
      </c>
      <c r="G17" s="39">
        <v>13801.55</v>
      </c>
      <c r="H17" s="38" t="s">
        <v>89</v>
      </c>
    </row>
    <row r="18" spans="1:8" ht="18" customHeight="1" x14ac:dyDescent="0.45">
      <c r="A18" s="37"/>
      <c r="B18" s="37" t="s">
        <v>90</v>
      </c>
      <c r="C18" s="38">
        <v>21</v>
      </c>
      <c r="D18" s="39">
        <v>283014.86</v>
      </c>
      <c r="E18" s="39">
        <v>32972.67</v>
      </c>
      <c r="F18" s="40">
        <v>11.65</v>
      </c>
      <c r="G18" s="39">
        <v>13476.9</v>
      </c>
      <c r="H18" s="38" t="s">
        <v>69</v>
      </c>
    </row>
    <row r="19" spans="1:8" ht="18" customHeight="1" x14ac:dyDescent="0.45">
      <c r="A19" s="37"/>
      <c r="B19" s="37" t="s">
        <v>91</v>
      </c>
      <c r="C19" s="38">
        <v>22</v>
      </c>
      <c r="D19" s="39">
        <v>259361.49</v>
      </c>
      <c r="E19" s="39">
        <v>31099.87</v>
      </c>
      <c r="F19" s="40">
        <v>11.99</v>
      </c>
      <c r="G19" s="39">
        <v>11789.16</v>
      </c>
      <c r="H19" s="38" t="s">
        <v>92</v>
      </c>
    </row>
    <row r="20" spans="1:8" ht="18" customHeight="1" x14ac:dyDescent="0.45">
      <c r="A20" s="37"/>
      <c r="B20" s="37" t="s">
        <v>93</v>
      </c>
      <c r="C20" s="38">
        <v>18</v>
      </c>
      <c r="D20" s="39">
        <v>228736.98</v>
      </c>
      <c r="E20" s="39">
        <v>29180.25</v>
      </c>
      <c r="F20" s="40">
        <v>12.76</v>
      </c>
      <c r="G20" s="39">
        <v>12707.61</v>
      </c>
      <c r="H20" s="38" t="s">
        <v>94</v>
      </c>
    </row>
    <row r="21" spans="1:8" ht="18" customHeight="1" x14ac:dyDescent="0.45">
      <c r="A21" s="37"/>
      <c r="B21" s="37" t="s">
        <v>95</v>
      </c>
      <c r="C21" s="38">
        <v>11</v>
      </c>
      <c r="D21" s="39">
        <v>84220.56</v>
      </c>
      <c r="E21" s="39">
        <v>9008.49</v>
      </c>
      <c r="F21" s="40">
        <v>10.7</v>
      </c>
      <c r="G21" s="39">
        <v>7656.41</v>
      </c>
      <c r="H21" s="38" t="s">
        <v>96</v>
      </c>
    </row>
    <row r="22" spans="1:8" ht="21.75" customHeight="1" x14ac:dyDescent="0.45">
      <c r="A22" s="100" t="s">
        <v>97</v>
      </c>
      <c r="B22" s="100"/>
      <c r="C22" s="47">
        <v>93</v>
      </c>
      <c r="D22" s="48">
        <v>229634.32</v>
      </c>
      <c r="E22" s="48">
        <v>23837.96</v>
      </c>
      <c r="F22" s="49">
        <v>10.38</v>
      </c>
      <c r="G22" s="48">
        <v>2469.19</v>
      </c>
      <c r="H22" s="47" t="s">
        <v>65</v>
      </c>
    </row>
    <row r="23" spans="1:8" ht="18" customHeight="1" x14ac:dyDescent="0.45">
      <c r="A23" s="37"/>
      <c r="B23" s="37" t="s">
        <v>98</v>
      </c>
      <c r="C23" s="38">
        <v>22</v>
      </c>
      <c r="D23" s="39">
        <v>59551.03</v>
      </c>
      <c r="E23" s="39">
        <v>6118.3</v>
      </c>
      <c r="F23" s="40">
        <v>10.27</v>
      </c>
      <c r="G23" s="39">
        <v>2706.86</v>
      </c>
      <c r="H23" s="38" t="s">
        <v>99</v>
      </c>
    </row>
    <row r="24" spans="1:8" ht="18" customHeight="1" x14ac:dyDescent="0.45">
      <c r="A24" s="37"/>
      <c r="B24" s="37" t="s">
        <v>100</v>
      </c>
      <c r="C24" s="38">
        <v>20</v>
      </c>
      <c r="D24" s="39">
        <v>54481.85</v>
      </c>
      <c r="E24" s="39">
        <v>5986.46</v>
      </c>
      <c r="F24" s="40">
        <v>10.99</v>
      </c>
      <c r="G24" s="39">
        <v>2724.09</v>
      </c>
      <c r="H24" s="38" t="s">
        <v>101</v>
      </c>
    </row>
    <row r="25" spans="1:8" ht="18" customHeight="1" x14ac:dyDescent="0.45">
      <c r="A25" s="37"/>
      <c r="B25" s="37" t="s">
        <v>102</v>
      </c>
      <c r="C25" s="38">
        <v>19</v>
      </c>
      <c r="D25" s="39">
        <v>49980.24</v>
      </c>
      <c r="E25" s="39">
        <v>4802.45</v>
      </c>
      <c r="F25" s="40">
        <v>9.61</v>
      </c>
      <c r="G25" s="39">
        <v>2630.54</v>
      </c>
      <c r="H25" s="38" t="s">
        <v>103</v>
      </c>
    </row>
    <row r="26" spans="1:8" ht="18" customHeight="1" x14ac:dyDescent="0.45">
      <c r="A26" s="37"/>
      <c r="B26" s="37" t="s">
        <v>83</v>
      </c>
      <c r="C26" s="38">
        <v>20</v>
      </c>
      <c r="D26" s="39">
        <v>37630.1</v>
      </c>
      <c r="E26" s="39">
        <v>4295.58</v>
      </c>
      <c r="F26" s="40">
        <v>11.42</v>
      </c>
      <c r="G26" s="39">
        <v>1881.5</v>
      </c>
      <c r="H26" s="38" t="s">
        <v>104</v>
      </c>
    </row>
    <row r="27" spans="1:8" ht="18" customHeight="1" x14ac:dyDescent="0.45">
      <c r="A27" s="37"/>
      <c r="B27" s="37" t="s">
        <v>105</v>
      </c>
      <c r="C27" s="38">
        <v>12</v>
      </c>
      <c r="D27" s="39">
        <v>27991.1</v>
      </c>
      <c r="E27" s="39">
        <v>2635.17</v>
      </c>
      <c r="F27" s="40">
        <v>9.41</v>
      </c>
      <c r="G27" s="39">
        <v>2332.59</v>
      </c>
      <c r="H27" s="38" t="s">
        <v>106</v>
      </c>
    </row>
    <row r="28" spans="1:8" ht="21.75" customHeight="1" x14ac:dyDescent="0.45">
      <c r="A28" s="101" t="s">
        <v>107</v>
      </c>
      <c r="B28" s="101"/>
      <c r="C28" s="50">
        <v>88</v>
      </c>
      <c r="D28" s="51">
        <v>116633.99</v>
      </c>
      <c r="E28" s="51">
        <v>13347.79</v>
      </c>
      <c r="F28" s="52">
        <v>11.44</v>
      </c>
      <c r="G28" s="51">
        <v>1325.39</v>
      </c>
      <c r="H28" s="50" t="s">
        <v>65</v>
      </c>
    </row>
    <row r="29" spans="1:8" ht="18" customHeight="1" x14ac:dyDescent="0.45">
      <c r="A29" s="37"/>
      <c r="B29" s="37" t="s">
        <v>108</v>
      </c>
      <c r="C29" s="38">
        <v>20</v>
      </c>
      <c r="D29" s="39">
        <v>28034.99</v>
      </c>
      <c r="E29" s="39">
        <v>2998.06</v>
      </c>
      <c r="F29" s="40">
        <v>10.69</v>
      </c>
      <c r="G29" s="39">
        <v>1401.75</v>
      </c>
      <c r="H29" s="38" t="s">
        <v>109</v>
      </c>
    </row>
    <row r="30" spans="1:8" ht="18" customHeight="1" x14ac:dyDescent="0.45">
      <c r="A30" s="37"/>
      <c r="B30" s="37" t="s">
        <v>110</v>
      </c>
      <c r="C30" s="38">
        <v>18</v>
      </c>
      <c r="D30" s="39">
        <v>25301.27</v>
      </c>
      <c r="E30" s="39">
        <v>2960.17</v>
      </c>
      <c r="F30" s="40">
        <v>11.7</v>
      </c>
      <c r="G30" s="39">
        <v>1405.63</v>
      </c>
      <c r="H30" s="38" t="s">
        <v>111</v>
      </c>
    </row>
    <row r="31" spans="1:8" ht="18" customHeight="1" x14ac:dyDescent="0.45">
      <c r="A31" s="37"/>
      <c r="B31" s="37" t="s">
        <v>112</v>
      </c>
      <c r="C31" s="38">
        <v>19</v>
      </c>
      <c r="D31" s="39">
        <v>24407.32</v>
      </c>
      <c r="E31" s="39">
        <v>2966.05</v>
      </c>
      <c r="F31" s="40">
        <v>12.15</v>
      </c>
      <c r="G31" s="39">
        <v>1284.5999999999999</v>
      </c>
      <c r="H31" s="38" t="s">
        <v>113</v>
      </c>
    </row>
    <row r="32" spans="1:8" ht="18" customHeight="1" x14ac:dyDescent="0.45">
      <c r="A32" s="37"/>
      <c r="B32" s="37" t="s">
        <v>114</v>
      </c>
      <c r="C32" s="38">
        <v>17</v>
      </c>
      <c r="D32" s="39">
        <v>20668.41</v>
      </c>
      <c r="E32" s="39">
        <v>2367.96</v>
      </c>
      <c r="F32" s="40">
        <v>11.46</v>
      </c>
      <c r="G32" s="39">
        <v>1215.79</v>
      </c>
      <c r="H32" s="38" t="s">
        <v>115</v>
      </c>
    </row>
    <row r="33" spans="1:8" ht="18" customHeight="1" x14ac:dyDescent="0.45">
      <c r="A33" s="37"/>
      <c r="B33" s="37" t="s">
        <v>116</v>
      </c>
      <c r="C33" s="38">
        <v>14</v>
      </c>
      <c r="D33" s="39">
        <v>18222</v>
      </c>
      <c r="E33" s="39">
        <v>2055.5500000000002</v>
      </c>
      <c r="F33" s="40">
        <v>11.28</v>
      </c>
      <c r="G33" s="39">
        <v>1301.57</v>
      </c>
      <c r="H33" s="38" t="s">
        <v>117</v>
      </c>
    </row>
    <row r="34" spans="1:8" ht="19.5" customHeight="1" x14ac:dyDescent="0.45">
      <c r="A34" s="30" t="s">
        <v>55</v>
      </c>
      <c r="B34" s="31"/>
      <c r="C34" s="31">
        <v>455</v>
      </c>
      <c r="D34" s="32">
        <v>5964435.04</v>
      </c>
      <c r="E34" s="32">
        <v>681379.9</v>
      </c>
      <c r="F34" s="33">
        <v>11.42</v>
      </c>
      <c r="G34" s="32">
        <v>13108.65</v>
      </c>
      <c r="H34" s="31" t="s">
        <v>65</v>
      </c>
    </row>
  </sheetData>
  <mergeCells count="7">
    <mergeCell ref="A22:B22"/>
    <mergeCell ref="A28:B28"/>
    <mergeCell ref="A1:H1"/>
    <mergeCell ref="A2:H2"/>
    <mergeCell ref="A4:B4"/>
    <mergeCell ref="A10:B10"/>
    <mergeCell ref="A16:B16"/>
  </mergeCells>
  <conditionalFormatting sqref="F5:F33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zoomScale="95" zoomScaleNormal="95" workbookViewId="0">
      <pane ySplit="3" topLeftCell="A4" activePane="bottomLeft" state="frozen"/>
      <selection pane="bottomLeft" sqref="A1:G1"/>
    </sheetView>
  </sheetViews>
  <sheetFormatPr defaultColWidth="8.59765625" defaultRowHeight="14.25" x14ac:dyDescent="0.45"/>
  <cols>
    <col min="1" max="1" width="22" customWidth="1"/>
    <col min="2" max="2" width="16" customWidth="1"/>
    <col min="3" max="3" width="14" customWidth="1"/>
    <col min="4" max="5" width="16" customWidth="1"/>
    <col min="6" max="6" width="14" customWidth="1"/>
    <col min="7" max="7" width="20" customWidth="1"/>
  </cols>
  <sheetData>
    <row r="1" spans="1:7" ht="25.5" customHeight="1" x14ac:dyDescent="0.45">
      <c r="A1" s="94" t="s">
        <v>118</v>
      </c>
      <c r="B1" s="94"/>
      <c r="C1" s="94"/>
      <c r="D1" s="94"/>
      <c r="E1" s="94"/>
      <c r="F1" s="94"/>
      <c r="G1" s="94"/>
    </row>
    <row r="2" spans="1:7" ht="27.75" customHeight="1" x14ac:dyDescent="0.45">
      <c r="A2" s="95" t="s">
        <v>119</v>
      </c>
      <c r="B2" s="95"/>
      <c r="C2" s="95"/>
      <c r="D2" s="95"/>
      <c r="E2" s="95"/>
      <c r="F2" s="95"/>
      <c r="G2" s="95"/>
    </row>
    <row r="3" spans="1:7" ht="19.5" customHeight="1" x14ac:dyDescent="0.45">
      <c r="A3" s="1" t="s">
        <v>120</v>
      </c>
      <c r="B3" s="1" t="s">
        <v>121</v>
      </c>
      <c r="C3" s="1" t="s">
        <v>49</v>
      </c>
      <c r="D3" s="1" t="s">
        <v>122</v>
      </c>
      <c r="E3" s="1" t="s">
        <v>44</v>
      </c>
      <c r="F3" s="1" t="s">
        <v>123</v>
      </c>
      <c r="G3" s="1" t="s">
        <v>46</v>
      </c>
    </row>
    <row r="4" spans="1:7" ht="19.5" customHeight="1" x14ac:dyDescent="0.45">
      <c r="A4" s="3" t="s">
        <v>124</v>
      </c>
      <c r="B4" s="53">
        <v>443</v>
      </c>
      <c r="C4" s="14">
        <v>227</v>
      </c>
      <c r="D4" s="14" t="s">
        <v>125</v>
      </c>
      <c r="E4" s="15">
        <v>2851298.97</v>
      </c>
      <c r="F4" s="15">
        <v>12560.79</v>
      </c>
      <c r="G4" s="16">
        <v>11.57</v>
      </c>
    </row>
    <row r="5" spans="1:7" ht="19.5" customHeight="1" x14ac:dyDescent="0.45">
      <c r="A5" s="6" t="s">
        <v>126</v>
      </c>
      <c r="B5" s="53">
        <v>222</v>
      </c>
      <c r="C5" s="24">
        <v>117</v>
      </c>
      <c r="D5" s="24" t="s">
        <v>127</v>
      </c>
      <c r="E5" s="25">
        <v>1571165.84</v>
      </c>
      <c r="F5" s="25">
        <v>13428.77</v>
      </c>
      <c r="G5" s="26">
        <v>10.83</v>
      </c>
    </row>
    <row r="6" spans="1:7" ht="19.5" customHeight="1" x14ac:dyDescent="0.45">
      <c r="A6" s="12" t="s">
        <v>128</v>
      </c>
      <c r="B6" s="53">
        <v>158</v>
      </c>
      <c r="C6" s="21">
        <v>77</v>
      </c>
      <c r="D6" s="21" t="s">
        <v>129</v>
      </c>
      <c r="E6" s="22">
        <v>905990.04</v>
      </c>
      <c r="F6" s="22">
        <v>11766.1</v>
      </c>
      <c r="G6" s="23">
        <v>12.29</v>
      </c>
    </row>
    <row r="7" spans="1:7" ht="19.5" customHeight="1" x14ac:dyDescent="0.45">
      <c r="A7" s="8" t="s">
        <v>130</v>
      </c>
      <c r="B7" s="53">
        <v>77</v>
      </c>
      <c r="C7" s="54">
        <v>34</v>
      </c>
      <c r="D7" s="54" t="s">
        <v>131</v>
      </c>
      <c r="E7" s="55">
        <v>635980.18999999994</v>
      </c>
      <c r="F7" s="55">
        <v>18705.3</v>
      </c>
      <c r="G7" s="56">
        <v>10.98</v>
      </c>
    </row>
    <row r="8" spans="1:7" ht="19.5" customHeight="1" x14ac:dyDescent="0.45">
      <c r="A8" s="30" t="s">
        <v>132</v>
      </c>
      <c r="B8" s="31" t="s">
        <v>133</v>
      </c>
      <c r="C8" s="31">
        <v>455</v>
      </c>
      <c r="D8" s="31" t="s">
        <v>65</v>
      </c>
      <c r="E8" s="32">
        <v>5964435.04</v>
      </c>
      <c r="F8" s="32">
        <v>13108.65</v>
      </c>
      <c r="G8" s="33">
        <v>11.42</v>
      </c>
    </row>
  </sheetData>
  <mergeCells count="2">
    <mergeCell ref="A1:G1"/>
    <mergeCell ref="A2:G2"/>
  </mergeCells>
  <conditionalFormatting sqref="C4:C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{A7B1EFC1-E032-4BCE-9716-9DF32A97D580}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B1EFC1-E032-4BCE-9716-9DF32A97D580}">
            <x14:dataBar axisPosition="none">
              <x14:cfvo type="min"/>
              <x14:cfvo type="max"/>
              <x14:negativeFillColor rgb="FF4472C4"/>
            </x14:dataBar>
          </x14:cfRule>
          <xm:sqref>C4:C7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zoomScale="95" zoomScaleNormal="95" workbookViewId="0">
      <pane ySplit="3" topLeftCell="A4" activePane="bottomLeft" state="frozen"/>
      <selection pane="bottomLeft" sqref="A1:H1"/>
    </sheetView>
  </sheetViews>
  <sheetFormatPr defaultColWidth="8.59765625" defaultRowHeight="14.25" x14ac:dyDescent="0.45"/>
  <cols>
    <col min="1" max="1" width="20" customWidth="1"/>
    <col min="2" max="2" width="14" customWidth="1"/>
    <col min="3" max="3" width="16" customWidth="1"/>
    <col min="4" max="5" width="14" customWidth="1"/>
    <col min="6" max="7" width="16" customWidth="1"/>
    <col min="8" max="8" width="22" customWidth="1"/>
  </cols>
  <sheetData>
    <row r="1" spans="1:8" ht="25.5" customHeight="1" x14ac:dyDescent="0.45">
      <c r="A1" s="94" t="s">
        <v>134</v>
      </c>
      <c r="B1" s="94"/>
      <c r="C1" s="94"/>
      <c r="D1" s="94"/>
      <c r="E1" s="94"/>
      <c r="F1" s="94"/>
      <c r="G1" s="94"/>
      <c r="H1" s="94"/>
    </row>
    <row r="2" spans="1:8" ht="27.75" customHeight="1" x14ac:dyDescent="0.45">
      <c r="A2" s="95" t="s">
        <v>135</v>
      </c>
      <c r="B2" s="95"/>
      <c r="C2" s="95"/>
      <c r="D2" s="95"/>
      <c r="E2" s="95"/>
      <c r="F2" s="95"/>
      <c r="G2" s="95"/>
      <c r="H2" s="95"/>
    </row>
    <row r="3" spans="1:8" ht="19.5" customHeight="1" x14ac:dyDescent="0.45">
      <c r="A3" s="1" t="s">
        <v>136</v>
      </c>
      <c r="B3" s="1" t="s">
        <v>60</v>
      </c>
      <c r="C3" s="1" t="s">
        <v>44</v>
      </c>
      <c r="D3" s="1" t="s">
        <v>45</v>
      </c>
      <c r="E3" s="1" t="s">
        <v>137</v>
      </c>
      <c r="F3" s="1" t="s">
        <v>138</v>
      </c>
      <c r="G3" s="1" t="s">
        <v>139</v>
      </c>
      <c r="H3" s="1" t="s">
        <v>47</v>
      </c>
    </row>
    <row r="4" spans="1:8" ht="19.5" customHeight="1" x14ac:dyDescent="0.45">
      <c r="A4" s="3" t="s">
        <v>140</v>
      </c>
      <c r="B4" s="14">
        <v>149</v>
      </c>
      <c r="C4" s="15">
        <v>1832659.27</v>
      </c>
      <c r="D4" s="15">
        <v>244396.02</v>
      </c>
      <c r="E4" s="57">
        <v>12.75</v>
      </c>
      <c r="F4" s="16">
        <v>6.84</v>
      </c>
      <c r="G4" s="16">
        <v>19.239999999999998</v>
      </c>
      <c r="H4" s="15">
        <v>12299.73</v>
      </c>
    </row>
    <row r="5" spans="1:8" ht="19.5" customHeight="1" x14ac:dyDescent="0.45">
      <c r="A5" s="6" t="s">
        <v>141</v>
      </c>
      <c r="B5" s="24">
        <v>143</v>
      </c>
      <c r="C5" s="25">
        <v>1982711.38</v>
      </c>
      <c r="D5" s="25">
        <v>226624.39</v>
      </c>
      <c r="E5" s="58">
        <v>11.3</v>
      </c>
      <c r="F5" s="26">
        <v>4.51</v>
      </c>
      <c r="G5" s="26">
        <v>17.82</v>
      </c>
      <c r="H5" s="25">
        <v>13865.11</v>
      </c>
    </row>
    <row r="6" spans="1:8" ht="19.5" customHeight="1" x14ac:dyDescent="0.45">
      <c r="A6" s="12" t="s">
        <v>142</v>
      </c>
      <c r="B6" s="21">
        <v>163</v>
      </c>
      <c r="C6" s="22">
        <v>2149064.39</v>
      </c>
      <c r="D6" s="22">
        <v>210359.49</v>
      </c>
      <c r="E6" s="59">
        <v>9.91</v>
      </c>
      <c r="F6" s="23">
        <v>3.01</v>
      </c>
      <c r="G6" s="23">
        <v>16.989999999999998</v>
      </c>
      <c r="H6" s="22">
        <v>13184.44</v>
      </c>
    </row>
    <row r="7" spans="1:8" ht="19.5" customHeight="1" x14ac:dyDescent="0.45">
      <c r="A7" s="30" t="s">
        <v>143</v>
      </c>
      <c r="B7" s="31">
        <v>455</v>
      </c>
      <c r="C7" s="32">
        <v>5964435.04</v>
      </c>
      <c r="D7" s="32">
        <v>681379.9</v>
      </c>
      <c r="E7" s="33">
        <v>11.42</v>
      </c>
      <c r="F7" s="33">
        <v>3.01</v>
      </c>
      <c r="G7" s="33">
        <v>19.239999999999998</v>
      </c>
      <c r="H7" s="32">
        <v>13108.65</v>
      </c>
    </row>
  </sheetData>
  <mergeCells count="2">
    <mergeCell ref="A1:H1"/>
    <mergeCell ref="A2:H2"/>
  </mergeCells>
  <conditionalFormatting sqref="E4:E6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zoomScale="95" zoomScaleNormal="95" workbookViewId="0">
      <pane ySplit="4" topLeftCell="A5" activePane="bottomLeft" state="frozen"/>
      <selection pane="bottomLeft" activeCell="I10" sqref="I10"/>
    </sheetView>
  </sheetViews>
  <sheetFormatPr defaultColWidth="8.59765625" defaultRowHeight="14.25" x14ac:dyDescent="0.45"/>
  <cols>
    <col min="1" max="1" width="16" customWidth="1"/>
    <col min="2" max="2" width="18" customWidth="1"/>
    <col min="3" max="3" width="14" customWidth="1"/>
    <col min="4" max="5" width="16" customWidth="1"/>
    <col min="6" max="6" width="14" customWidth="1"/>
    <col min="7" max="7" width="27.9296875" bestFit="1" customWidth="1"/>
  </cols>
  <sheetData>
    <row r="1" spans="1:7" ht="25.5" customHeight="1" x14ac:dyDescent="0.45">
      <c r="A1" s="94" t="s">
        <v>144</v>
      </c>
      <c r="B1" s="94"/>
      <c r="C1" s="94"/>
      <c r="D1" s="94"/>
      <c r="E1" s="94"/>
      <c r="F1" s="94"/>
      <c r="G1" s="94"/>
    </row>
    <row r="2" spans="1:7" ht="31.5" customHeight="1" x14ac:dyDescent="0.45">
      <c r="A2" s="95" t="s">
        <v>145</v>
      </c>
      <c r="B2" s="95"/>
      <c r="C2" s="95"/>
      <c r="D2" s="95"/>
      <c r="E2" s="95"/>
      <c r="F2" s="95"/>
      <c r="G2" s="95"/>
    </row>
    <row r="3" spans="1:7" ht="19.5" customHeight="1" x14ac:dyDescent="0.45">
      <c r="A3" s="1" t="s">
        <v>42</v>
      </c>
      <c r="B3" s="1" t="s">
        <v>146</v>
      </c>
      <c r="C3" s="1" t="s">
        <v>147</v>
      </c>
      <c r="D3" s="1" t="s">
        <v>148</v>
      </c>
      <c r="E3" s="1" t="s">
        <v>62</v>
      </c>
      <c r="F3" s="1" t="s">
        <v>149</v>
      </c>
      <c r="G3" s="1" t="s">
        <v>150</v>
      </c>
    </row>
    <row r="4" spans="1:7" ht="19.5" customHeight="1" x14ac:dyDescent="0.45">
      <c r="A4" s="60"/>
      <c r="B4" s="60" t="s">
        <v>151</v>
      </c>
      <c r="C4" s="60" t="s">
        <v>152</v>
      </c>
      <c r="D4" s="60"/>
      <c r="E4" s="60"/>
      <c r="F4" s="60"/>
      <c r="G4" s="60"/>
    </row>
    <row r="5" spans="1:7" ht="18" customHeight="1" x14ac:dyDescent="0.45">
      <c r="A5" s="61" t="s">
        <v>53</v>
      </c>
      <c r="B5" s="62" t="s">
        <v>153</v>
      </c>
      <c r="C5" s="27">
        <v>29</v>
      </c>
      <c r="D5" s="28">
        <v>373270.21</v>
      </c>
      <c r="E5" s="28">
        <v>12871.39</v>
      </c>
      <c r="F5" s="27" t="s">
        <v>154</v>
      </c>
      <c r="G5" s="63" t="s">
        <v>155</v>
      </c>
    </row>
    <row r="6" spans="1:7" ht="18" customHeight="1" x14ac:dyDescent="0.45">
      <c r="A6" s="64"/>
      <c r="B6" s="62" t="s">
        <v>156</v>
      </c>
      <c r="C6" s="27">
        <v>2</v>
      </c>
      <c r="D6" s="28">
        <v>24622.97</v>
      </c>
      <c r="E6" s="28">
        <v>12311.48</v>
      </c>
      <c r="F6" s="27" t="s">
        <v>157</v>
      </c>
      <c r="G6" s="63" t="s">
        <v>158</v>
      </c>
    </row>
    <row r="7" spans="1:7" ht="18" customHeight="1" x14ac:dyDescent="0.45">
      <c r="A7" s="64"/>
      <c r="B7" s="65" t="s">
        <v>159</v>
      </c>
      <c r="C7" s="24">
        <v>10</v>
      </c>
      <c r="D7" s="25">
        <v>180422.11</v>
      </c>
      <c r="E7" s="25">
        <v>18042.21</v>
      </c>
      <c r="F7" s="24" t="s">
        <v>160</v>
      </c>
      <c r="G7" s="63" t="s">
        <v>161</v>
      </c>
    </row>
    <row r="8" spans="1:7" ht="18" customHeight="1" x14ac:dyDescent="0.45">
      <c r="A8" s="64"/>
      <c r="B8" s="66" t="s">
        <v>162</v>
      </c>
      <c r="C8" s="21">
        <v>21</v>
      </c>
      <c r="D8" s="22">
        <v>328659.31</v>
      </c>
      <c r="E8" s="22">
        <v>15650.44</v>
      </c>
      <c r="F8" s="21" t="s">
        <v>163</v>
      </c>
      <c r="G8" s="63" t="s">
        <v>161</v>
      </c>
    </row>
    <row r="9" spans="1:7" ht="18" customHeight="1" x14ac:dyDescent="0.45">
      <c r="A9" s="61" t="s">
        <v>50</v>
      </c>
      <c r="B9" s="62" t="s">
        <v>153</v>
      </c>
      <c r="C9" s="27">
        <v>54</v>
      </c>
      <c r="D9" s="28">
        <v>700428.9</v>
      </c>
      <c r="E9" s="28">
        <v>12970.91</v>
      </c>
      <c r="F9" s="27" t="s">
        <v>164</v>
      </c>
      <c r="G9" s="63" t="s">
        <v>155</v>
      </c>
    </row>
    <row r="10" spans="1:7" ht="18" customHeight="1" x14ac:dyDescent="0.45">
      <c r="A10" s="64"/>
      <c r="B10" s="62" t="s">
        <v>156</v>
      </c>
      <c r="C10" s="27">
        <v>3</v>
      </c>
      <c r="D10" s="28">
        <v>33681.15</v>
      </c>
      <c r="E10" s="28">
        <v>11227.05</v>
      </c>
      <c r="F10" s="27" t="s">
        <v>157</v>
      </c>
      <c r="G10" s="63" t="s">
        <v>158</v>
      </c>
    </row>
    <row r="11" spans="1:7" ht="18" customHeight="1" x14ac:dyDescent="0.45">
      <c r="A11" s="64"/>
      <c r="B11" s="65" t="s">
        <v>159</v>
      </c>
      <c r="C11" s="24">
        <v>14</v>
      </c>
      <c r="D11" s="25">
        <v>239560.35</v>
      </c>
      <c r="E11" s="25">
        <v>17111.45</v>
      </c>
      <c r="F11" s="24" t="s">
        <v>165</v>
      </c>
      <c r="G11" s="63" t="s">
        <v>161</v>
      </c>
    </row>
    <row r="12" spans="1:7" ht="18" customHeight="1" x14ac:dyDescent="0.45">
      <c r="A12" s="64"/>
      <c r="B12" s="66" t="s">
        <v>162</v>
      </c>
      <c r="C12" s="21">
        <v>25</v>
      </c>
      <c r="D12" s="22">
        <v>376426.47</v>
      </c>
      <c r="E12" s="22">
        <v>15057.06</v>
      </c>
      <c r="F12" s="21" t="s">
        <v>166</v>
      </c>
      <c r="G12" s="63" t="s">
        <v>161</v>
      </c>
    </row>
    <row r="13" spans="1:7" ht="18" customHeight="1" x14ac:dyDescent="0.45">
      <c r="A13" s="61" t="s">
        <v>52</v>
      </c>
      <c r="B13" s="62" t="s">
        <v>153</v>
      </c>
      <c r="C13" s="27">
        <v>32</v>
      </c>
      <c r="D13" s="28">
        <v>526599.23</v>
      </c>
      <c r="E13" s="28">
        <v>16456.23</v>
      </c>
      <c r="F13" s="27" t="s">
        <v>73</v>
      </c>
      <c r="G13" s="63" t="s">
        <v>155</v>
      </c>
    </row>
    <row r="14" spans="1:7" ht="18" customHeight="1" x14ac:dyDescent="0.45">
      <c r="A14" s="64"/>
      <c r="B14" s="62" t="s">
        <v>156</v>
      </c>
      <c r="C14" s="27">
        <v>3</v>
      </c>
      <c r="D14" s="28">
        <v>29238.02</v>
      </c>
      <c r="E14" s="28">
        <v>9746.01</v>
      </c>
      <c r="F14" s="27" t="s">
        <v>167</v>
      </c>
      <c r="G14" s="63" t="s">
        <v>158</v>
      </c>
    </row>
    <row r="15" spans="1:7" ht="18" customHeight="1" x14ac:dyDescent="0.45">
      <c r="A15" s="64"/>
      <c r="B15" s="65" t="s">
        <v>159</v>
      </c>
      <c r="C15" s="24">
        <v>14</v>
      </c>
      <c r="D15" s="25">
        <v>168092.21</v>
      </c>
      <c r="E15" s="25">
        <v>12006.59</v>
      </c>
      <c r="F15" s="24" t="s">
        <v>168</v>
      </c>
      <c r="G15" s="63" t="s">
        <v>161</v>
      </c>
    </row>
    <row r="16" spans="1:7" ht="18" customHeight="1" x14ac:dyDescent="0.45">
      <c r="A16" s="64"/>
      <c r="B16" s="66" t="s">
        <v>162</v>
      </c>
      <c r="C16" s="21">
        <v>22</v>
      </c>
      <c r="D16" s="22">
        <v>251547.83</v>
      </c>
      <c r="E16" s="22">
        <v>11433.99</v>
      </c>
      <c r="F16" s="21" t="s">
        <v>169</v>
      </c>
      <c r="G16" s="63" t="s">
        <v>161</v>
      </c>
    </row>
    <row r="17" spans="1:7" ht="18" customHeight="1" x14ac:dyDescent="0.45">
      <c r="A17" s="61" t="s">
        <v>54</v>
      </c>
      <c r="B17" s="62" t="s">
        <v>153</v>
      </c>
      <c r="C17" s="27">
        <v>6</v>
      </c>
      <c r="D17" s="28">
        <v>75186.91</v>
      </c>
      <c r="E17" s="28">
        <v>12531.15</v>
      </c>
      <c r="F17" s="27" t="s">
        <v>170</v>
      </c>
      <c r="G17" s="63" t="s">
        <v>155</v>
      </c>
    </row>
    <row r="18" spans="1:7" ht="18" customHeight="1" x14ac:dyDescent="0.45">
      <c r="A18" s="64"/>
      <c r="B18" s="65" t="s">
        <v>159</v>
      </c>
      <c r="C18" s="24">
        <v>3</v>
      </c>
      <c r="D18" s="25">
        <v>23085.03</v>
      </c>
      <c r="E18" s="25">
        <v>7695.01</v>
      </c>
      <c r="F18" s="24" t="s">
        <v>171</v>
      </c>
      <c r="G18" s="63" t="s">
        <v>161</v>
      </c>
    </row>
    <row r="19" spans="1:7" ht="18" customHeight="1" x14ac:dyDescent="0.45">
      <c r="A19" s="64"/>
      <c r="B19" s="66" t="s">
        <v>162</v>
      </c>
      <c r="C19" s="21">
        <v>2</v>
      </c>
      <c r="D19" s="22">
        <v>33223.97</v>
      </c>
      <c r="E19" s="22">
        <v>16611.98</v>
      </c>
      <c r="F19" s="21" t="s">
        <v>172</v>
      </c>
      <c r="G19" s="63" t="s">
        <v>161</v>
      </c>
    </row>
    <row r="20" spans="1:7" ht="18" customHeight="1" x14ac:dyDescent="0.45">
      <c r="A20" s="61" t="s">
        <v>51</v>
      </c>
      <c r="B20" s="62" t="s">
        <v>153</v>
      </c>
      <c r="C20" s="27">
        <v>38</v>
      </c>
      <c r="D20" s="28">
        <v>644295.5</v>
      </c>
      <c r="E20" s="28">
        <v>16955.14</v>
      </c>
      <c r="F20" s="27" t="s">
        <v>173</v>
      </c>
      <c r="G20" s="63" t="s">
        <v>155</v>
      </c>
    </row>
    <row r="21" spans="1:7" ht="18" customHeight="1" x14ac:dyDescent="0.45">
      <c r="A21" s="64"/>
      <c r="B21" s="62" t="s">
        <v>156</v>
      </c>
      <c r="C21" s="27">
        <v>3</v>
      </c>
      <c r="D21" s="28">
        <v>48646.39</v>
      </c>
      <c r="E21" s="28">
        <v>16215.46</v>
      </c>
      <c r="F21" s="27" t="s">
        <v>174</v>
      </c>
      <c r="G21" s="63" t="s">
        <v>158</v>
      </c>
    </row>
    <row r="22" spans="1:7" ht="18" customHeight="1" x14ac:dyDescent="0.45">
      <c r="A22" s="64"/>
      <c r="B22" s="65" t="s">
        <v>159</v>
      </c>
      <c r="C22" s="24">
        <v>15</v>
      </c>
      <c r="D22" s="25">
        <v>255901.84</v>
      </c>
      <c r="E22" s="25">
        <v>17060.12</v>
      </c>
      <c r="F22" s="24" t="s">
        <v>168</v>
      </c>
      <c r="G22" s="63" t="s">
        <v>161</v>
      </c>
    </row>
    <row r="23" spans="1:7" ht="18" customHeight="1" x14ac:dyDescent="0.45">
      <c r="A23" s="64"/>
      <c r="B23" s="66" t="s">
        <v>162</v>
      </c>
      <c r="C23" s="21">
        <v>37</v>
      </c>
      <c r="D23" s="22">
        <v>492130.89</v>
      </c>
      <c r="E23" s="22">
        <v>13300.83</v>
      </c>
      <c r="F23" s="21" t="s">
        <v>175</v>
      </c>
      <c r="G23" s="63" t="s">
        <v>161</v>
      </c>
    </row>
    <row r="25" spans="1:7" ht="19.5" customHeight="1" x14ac:dyDescent="0.45">
      <c r="A25" s="96" t="s">
        <v>176</v>
      </c>
      <c r="B25" s="96"/>
      <c r="C25" s="96"/>
      <c r="D25" s="96"/>
      <c r="E25" s="96"/>
      <c r="F25" s="96"/>
      <c r="G25" s="96"/>
    </row>
    <row r="26" spans="1:7" ht="19.5" customHeight="1" x14ac:dyDescent="0.45">
      <c r="A26" s="1" t="s">
        <v>146</v>
      </c>
      <c r="B26" s="1" t="s">
        <v>177</v>
      </c>
      <c r="C26" s="1" t="s">
        <v>178</v>
      </c>
      <c r="D26" s="1" t="s">
        <v>179</v>
      </c>
      <c r="E26" s="1" t="s">
        <v>150</v>
      </c>
      <c r="F26" s="1" t="s">
        <v>180</v>
      </c>
      <c r="G26" s="1" t="s">
        <v>181</v>
      </c>
    </row>
    <row r="27" spans="1:7" ht="19.5" customHeight="1" x14ac:dyDescent="0.45">
      <c r="A27" s="62" t="s">
        <v>153</v>
      </c>
      <c r="B27" s="27">
        <v>159</v>
      </c>
      <c r="C27" s="27" t="s">
        <v>115</v>
      </c>
      <c r="D27" s="28">
        <v>2319780.75</v>
      </c>
      <c r="E27" s="63" t="s">
        <v>155</v>
      </c>
      <c r="F27" s="67" t="s">
        <v>182</v>
      </c>
      <c r="G27" s="67" t="s">
        <v>183</v>
      </c>
    </row>
    <row r="28" spans="1:7" ht="19.5" customHeight="1" x14ac:dyDescent="0.45">
      <c r="A28" s="62" t="s">
        <v>156</v>
      </c>
      <c r="B28" s="27">
        <v>11</v>
      </c>
      <c r="C28" s="27" t="s">
        <v>157</v>
      </c>
      <c r="D28" s="28">
        <v>136188.53</v>
      </c>
      <c r="E28" s="63" t="s">
        <v>158</v>
      </c>
      <c r="F28" s="67" t="s">
        <v>182</v>
      </c>
      <c r="G28" s="67" t="s">
        <v>183</v>
      </c>
    </row>
    <row r="29" spans="1:7" ht="19.5" customHeight="1" x14ac:dyDescent="0.45">
      <c r="A29" s="66" t="s">
        <v>162</v>
      </c>
      <c r="B29" s="21">
        <v>107</v>
      </c>
      <c r="C29" s="21" t="s">
        <v>184</v>
      </c>
      <c r="D29" s="22">
        <v>1481988.47</v>
      </c>
      <c r="E29" s="63" t="s">
        <v>161</v>
      </c>
      <c r="F29" s="67" t="s">
        <v>185</v>
      </c>
      <c r="G29" s="67" t="s">
        <v>186</v>
      </c>
    </row>
    <row r="30" spans="1:7" ht="19.5" customHeight="1" x14ac:dyDescent="0.45">
      <c r="A30" s="65" t="s">
        <v>159</v>
      </c>
      <c r="B30" s="24">
        <v>56</v>
      </c>
      <c r="C30" s="24" t="s">
        <v>172</v>
      </c>
      <c r="D30" s="25">
        <v>867061.54</v>
      </c>
      <c r="E30" s="63" t="s">
        <v>161</v>
      </c>
      <c r="F30" s="67" t="s">
        <v>185</v>
      </c>
      <c r="G30" s="67" t="s">
        <v>186</v>
      </c>
    </row>
  </sheetData>
  <mergeCells count="3">
    <mergeCell ref="A1:G1"/>
    <mergeCell ref="A2:G2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tabSelected="1" zoomScale="95" zoomScaleNormal="95" workbookViewId="0">
      <pane ySplit="3" topLeftCell="A25" activePane="bottomLeft" state="frozen"/>
      <selection pane="bottomLeft" activeCell="D40" sqref="D40"/>
    </sheetView>
  </sheetViews>
  <sheetFormatPr defaultColWidth="8.59765625" defaultRowHeight="14.25" x14ac:dyDescent="0.45"/>
  <cols>
    <col min="1" max="1" width="14" customWidth="1"/>
    <col min="2" max="2" width="12" customWidth="1"/>
    <col min="3" max="4" width="16" customWidth="1"/>
    <col min="5" max="5" width="14" customWidth="1"/>
    <col min="6" max="7" width="16" customWidth="1"/>
    <col min="8" max="8" width="18" customWidth="1"/>
  </cols>
  <sheetData>
    <row r="1" spans="1:8" ht="25.5" customHeight="1" x14ac:dyDescent="0.45">
      <c r="A1" s="94" t="s">
        <v>187</v>
      </c>
      <c r="B1" s="94"/>
      <c r="C1" s="94"/>
      <c r="D1" s="94"/>
      <c r="E1" s="94"/>
      <c r="F1" s="94"/>
      <c r="G1" s="94"/>
      <c r="H1" s="94"/>
    </row>
    <row r="2" spans="1:8" ht="27.75" customHeight="1" x14ac:dyDescent="0.45">
      <c r="A2" s="95" t="s">
        <v>188</v>
      </c>
      <c r="B2" s="95"/>
      <c r="C2" s="95"/>
      <c r="D2" s="95"/>
      <c r="E2" s="95"/>
      <c r="F2" s="95"/>
      <c r="G2" s="95"/>
      <c r="H2" s="95"/>
    </row>
    <row r="3" spans="1:8" ht="19.5" customHeight="1" x14ac:dyDescent="0.45">
      <c r="A3" s="1" t="s">
        <v>189</v>
      </c>
      <c r="B3" s="1" t="s">
        <v>190</v>
      </c>
      <c r="C3" s="1" t="s">
        <v>191</v>
      </c>
      <c r="D3" s="1" t="s">
        <v>60</v>
      </c>
      <c r="E3" s="1" t="s">
        <v>44</v>
      </c>
      <c r="F3" s="1" t="s">
        <v>45</v>
      </c>
      <c r="G3" s="1" t="s">
        <v>61</v>
      </c>
      <c r="H3" s="1" t="s">
        <v>192</v>
      </c>
    </row>
    <row r="4" spans="1:8" ht="18" customHeight="1" x14ac:dyDescent="0.45">
      <c r="A4" s="5">
        <v>2024</v>
      </c>
      <c r="B4" s="24" t="s">
        <v>193</v>
      </c>
      <c r="C4" s="24" t="s">
        <v>194</v>
      </c>
      <c r="D4" s="24">
        <v>33</v>
      </c>
      <c r="E4" s="25">
        <v>532277.87</v>
      </c>
      <c r="F4" s="25">
        <v>64560.55</v>
      </c>
      <c r="G4" s="26">
        <v>12.13</v>
      </c>
      <c r="H4" s="38" t="s">
        <v>133</v>
      </c>
    </row>
    <row r="5" spans="1:8" ht="18" customHeight="1" x14ac:dyDescent="0.45">
      <c r="A5" s="5">
        <v>2024</v>
      </c>
      <c r="B5" s="24" t="s">
        <v>195</v>
      </c>
      <c r="C5" s="24" t="s">
        <v>196</v>
      </c>
      <c r="D5" s="24">
        <v>35</v>
      </c>
      <c r="E5" s="25">
        <v>519415.12</v>
      </c>
      <c r="F5" s="25">
        <v>57868.959999999999</v>
      </c>
      <c r="G5" s="26">
        <v>11.14</v>
      </c>
      <c r="H5" s="68" t="s">
        <v>197</v>
      </c>
    </row>
    <row r="6" spans="1:8" ht="18" customHeight="1" x14ac:dyDescent="0.45">
      <c r="A6" s="5">
        <v>2024</v>
      </c>
      <c r="B6" s="24" t="s">
        <v>198</v>
      </c>
      <c r="C6" s="24" t="s">
        <v>199</v>
      </c>
      <c r="D6" s="24">
        <v>45</v>
      </c>
      <c r="E6" s="25">
        <v>556284.43000000005</v>
      </c>
      <c r="F6" s="25">
        <v>58030.13</v>
      </c>
      <c r="G6" s="26">
        <v>10.43</v>
      </c>
      <c r="H6" s="69" t="s">
        <v>200</v>
      </c>
    </row>
    <row r="7" spans="1:8" ht="18" customHeight="1" x14ac:dyDescent="0.45">
      <c r="A7" s="5">
        <v>2024</v>
      </c>
      <c r="B7" s="24" t="s">
        <v>201</v>
      </c>
      <c r="C7" s="24" t="s">
        <v>202</v>
      </c>
      <c r="D7" s="24">
        <v>43</v>
      </c>
      <c r="E7" s="25">
        <v>723871.14</v>
      </c>
      <c r="F7" s="25">
        <v>84756.3</v>
      </c>
      <c r="G7" s="26">
        <v>11.71</v>
      </c>
      <c r="H7" s="70" t="s">
        <v>203</v>
      </c>
    </row>
    <row r="8" spans="1:8" ht="18" customHeight="1" x14ac:dyDescent="0.45">
      <c r="A8" s="5">
        <v>2024</v>
      </c>
      <c r="B8" s="24" t="s">
        <v>204</v>
      </c>
      <c r="C8" s="24" t="s">
        <v>205</v>
      </c>
      <c r="D8" s="24">
        <v>47</v>
      </c>
      <c r="E8" s="25">
        <v>465091.78</v>
      </c>
      <c r="F8" s="25">
        <v>51293.05</v>
      </c>
      <c r="G8" s="26">
        <v>11.03</v>
      </c>
      <c r="H8" s="71" t="s">
        <v>206</v>
      </c>
    </row>
    <row r="9" spans="1:8" ht="18" customHeight="1" x14ac:dyDescent="0.45">
      <c r="A9" s="5">
        <v>2024</v>
      </c>
      <c r="B9" s="24" t="s">
        <v>207</v>
      </c>
      <c r="C9" s="24" t="s">
        <v>208</v>
      </c>
      <c r="D9" s="24">
        <v>37</v>
      </c>
      <c r="E9" s="25">
        <v>459921.66</v>
      </c>
      <c r="F9" s="25">
        <v>50220.98</v>
      </c>
      <c r="G9" s="26">
        <v>10.92</v>
      </c>
      <c r="H9" s="68" t="s">
        <v>209</v>
      </c>
    </row>
    <row r="10" spans="1:8" ht="18" customHeight="1" x14ac:dyDescent="0.45">
      <c r="A10" s="5">
        <v>2024</v>
      </c>
      <c r="B10" s="24" t="s">
        <v>210</v>
      </c>
      <c r="C10" s="24" t="s">
        <v>211</v>
      </c>
      <c r="D10" s="24">
        <v>35</v>
      </c>
      <c r="E10" s="25">
        <v>416665.14</v>
      </c>
      <c r="F10" s="25">
        <v>44207.12</v>
      </c>
      <c r="G10" s="26">
        <v>10.61</v>
      </c>
      <c r="H10" s="68" t="s">
        <v>212</v>
      </c>
    </row>
    <row r="11" spans="1:8" ht="18" customHeight="1" x14ac:dyDescent="0.45">
      <c r="A11" s="5">
        <v>2024</v>
      </c>
      <c r="B11" s="24" t="s">
        <v>213</v>
      </c>
      <c r="C11" s="24" t="s">
        <v>214</v>
      </c>
      <c r="D11" s="24">
        <v>46</v>
      </c>
      <c r="E11" s="25">
        <v>414448.5</v>
      </c>
      <c r="F11" s="25">
        <v>46063.69</v>
      </c>
      <c r="G11" s="26">
        <v>11.11</v>
      </c>
      <c r="H11" s="68" t="s">
        <v>215</v>
      </c>
    </row>
    <row r="12" spans="1:8" ht="18" customHeight="1" x14ac:dyDescent="0.45">
      <c r="A12" s="5">
        <v>2024</v>
      </c>
      <c r="B12" s="24" t="s">
        <v>216</v>
      </c>
      <c r="C12" s="24" t="s">
        <v>217</v>
      </c>
      <c r="D12" s="24">
        <v>42</v>
      </c>
      <c r="E12" s="25">
        <v>449803.54</v>
      </c>
      <c r="F12" s="25">
        <v>49157.599999999999</v>
      </c>
      <c r="G12" s="26">
        <v>10.93</v>
      </c>
      <c r="H12" s="69" t="s">
        <v>218</v>
      </c>
    </row>
    <row r="13" spans="1:8" ht="18" customHeight="1" x14ac:dyDescent="0.45">
      <c r="A13" s="5">
        <v>2024</v>
      </c>
      <c r="B13" s="24" t="s">
        <v>219</v>
      </c>
      <c r="C13" s="24" t="s">
        <v>220</v>
      </c>
      <c r="D13" s="24">
        <v>35</v>
      </c>
      <c r="E13" s="25">
        <v>557202.89</v>
      </c>
      <c r="F13" s="25">
        <v>68933.240000000005</v>
      </c>
      <c r="G13" s="26">
        <v>12.37</v>
      </c>
      <c r="H13" s="70" t="s">
        <v>221</v>
      </c>
    </row>
    <row r="14" spans="1:8" ht="18" customHeight="1" x14ac:dyDescent="0.45">
      <c r="A14" s="5">
        <v>2024</v>
      </c>
      <c r="B14" s="24" t="s">
        <v>222</v>
      </c>
      <c r="C14" s="24" t="s">
        <v>223</v>
      </c>
      <c r="D14" s="24">
        <v>41</v>
      </c>
      <c r="E14" s="25">
        <v>569755.35</v>
      </c>
      <c r="F14" s="25">
        <v>67463.320000000007</v>
      </c>
      <c r="G14" s="26">
        <v>11.84</v>
      </c>
      <c r="H14" s="69" t="s">
        <v>224</v>
      </c>
    </row>
    <row r="15" spans="1:8" ht="18" customHeight="1" x14ac:dyDescent="0.45">
      <c r="A15" s="5">
        <v>2024</v>
      </c>
      <c r="B15" s="24" t="s">
        <v>225</v>
      </c>
      <c r="C15" s="24" t="s">
        <v>226</v>
      </c>
      <c r="D15" s="24">
        <v>48</v>
      </c>
      <c r="E15" s="25">
        <v>714169.05</v>
      </c>
      <c r="F15" s="25">
        <v>78836.210000000006</v>
      </c>
      <c r="G15" s="26">
        <v>11.04</v>
      </c>
      <c r="H15" s="70" t="s">
        <v>227</v>
      </c>
    </row>
    <row r="16" spans="1:8" ht="18" customHeight="1" x14ac:dyDescent="0.45">
      <c r="A16" s="2">
        <v>2025</v>
      </c>
      <c r="B16" s="14" t="s">
        <v>193</v>
      </c>
      <c r="C16" s="14" t="s">
        <v>228</v>
      </c>
      <c r="D16" s="14">
        <v>48</v>
      </c>
      <c r="E16" s="15">
        <v>888260.44</v>
      </c>
      <c r="F16" s="15">
        <v>102828.41</v>
      </c>
      <c r="G16" s="16">
        <v>11.58</v>
      </c>
      <c r="H16" s="70" t="s">
        <v>229</v>
      </c>
    </row>
    <row r="17" spans="1:8" ht="18" customHeight="1" x14ac:dyDescent="0.45">
      <c r="A17" s="2">
        <v>2025</v>
      </c>
      <c r="B17" s="14" t="s">
        <v>195</v>
      </c>
      <c r="C17" s="14" t="s">
        <v>230</v>
      </c>
      <c r="D17" s="14">
        <v>28</v>
      </c>
      <c r="E17" s="15">
        <v>418900.68</v>
      </c>
      <c r="F17" s="15">
        <v>49124.79</v>
      </c>
      <c r="G17" s="16">
        <v>11.73</v>
      </c>
      <c r="H17" s="71" t="s">
        <v>231</v>
      </c>
    </row>
    <row r="18" spans="1:8" ht="18" customHeight="1" x14ac:dyDescent="0.45">
      <c r="A18" s="2">
        <v>2025</v>
      </c>
      <c r="B18" s="14" t="s">
        <v>198</v>
      </c>
      <c r="C18" s="14" t="s">
        <v>232</v>
      </c>
      <c r="D18" s="14">
        <v>37</v>
      </c>
      <c r="E18" s="15">
        <v>553879.16</v>
      </c>
      <c r="F18" s="15">
        <v>66207.66</v>
      </c>
      <c r="G18" s="16">
        <v>11.95</v>
      </c>
      <c r="H18" s="70" t="s">
        <v>233</v>
      </c>
    </row>
    <row r="19" spans="1:8" ht="18" customHeight="1" x14ac:dyDescent="0.45">
      <c r="A19" s="2">
        <v>2025</v>
      </c>
      <c r="B19" s="14" t="s">
        <v>201</v>
      </c>
      <c r="C19" s="14" t="s">
        <v>234</v>
      </c>
      <c r="D19" s="14">
        <v>32</v>
      </c>
      <c r="E19" s="15">
        <v>653689.72</v>
      </c>
      <c r="F19" s="15">
        <v>76688.92</v>
      </c>
      <c r="G19" s="16">
        <v>11.73</v>
      </c>
      <c r="H19" s="70" t="s">
        <v>235</v>
      </c>
    </row>
    <row r="20" spans="1:8" ht="18" customHeight="1" x14ac:dyDescent="0.45">
      <c r="A20" s="2">
        <v>2025</v>
      </c>
      <c r="B20" s="14" t="s">
        <v>204</v>
      </c>
      <c r="C20" s="14" t="s">
        <v>236</v>
      </c>
      <c r="D20" s="14">
        <v>26</v>
      </c>
      <c r="E20" s="15">
        <v>333076.27</v>
      </c>
      <c r="F20" s="15">
        <v>36973.980000000003</v>
      </c>
      <c r="G20" s="16">
        <v>11.1</v>
      </c>
      <c r="H20" s="71" t="s">
        <v>237</v>
      </c>
    </row>
    <row r="21" spans="1:8" ht="18" customHeight="1" x14ac:dyDescent="0.45">
      <c r="A21" s="2">
        <v>2025</v>
      </c>
      <c r="B21" s="14" t="s">
        <v>207</v>
      </c>
      <c r="C21" s="14" t="s">
        <v>238</v>
      </c>
      <c r="D21" s="14">
        <v>31</v>
      </c>
      <c r="E21" s="15">
        <v>499594.95</v>
      </c>
      <c r="F21" s="15">
        <v>50027.41</v>
      </c>
      <c r="G21" s="16">
        <v>10.01</v>
      </c>
      <c r="H21" s="70" t="s">
        <v>239</v>
      </c>
    </row>
    <row r="22" spans="1:8" ht="18" customHeight="1" x14ac:dyDescent="0.45">
      <c r="A22" s="2">
        <v>2025</v>
      </c>
      <c r="B22" s="14" t="s">
        <v>210</v>
      </c>
      <c r="C22" s="14" t="s">
        <v>240</v>
      </c>
      <c r="D22" s="14">
        <v>44</v>
      </c>
      <c r="E22" s="15">
        <v>416311.26</v>
      </c>
      <c r="F22" s="15">
        <v>55749.73</v>
      </c>
      <c r="G22" s="16">
        <v>13.39</v>
      </c>
      <c r="H22" s="71" t="s">
        <v>241</v>
      </c>
    </row>
    <row r="23" spans="1:8" ht="18" customHeight="1" x14ac:dyDescent="0.45">
      <c r="A23" s="2">
        <v>2025</v>
      </c>
      <c r="B23" s="14" t="s">
        <v>213</v>
      </c>
      <c r="C23" s="14" t="s">
        <v>242</v>
      </c>
      <c r="D23" s="14">
        <v>34</v>
      </c>
      <c r="E23" s="15">
        <v>431237.11</v>
      </c>
      <c r="F23" s="15">
        <v>51666.2</v>
      </c>
      <c r="G23" s="16">
        <v>11.98</v>
      </c>
      <c r="H23" s="69" t="s">
        <v>243</v>
      </c>
    </row>
    <row r="24" spans="1:8" ht="18" customHeight="1" x14ac:dyDescent="0.45">
      <c r="A24" s="2">
        <v>2025</v>
      </c>
      <c r="B24" s="14" t="s">
        <v>216</v>
      </c>
      <c r="C24" s="14" t="s">
        <v>244</v>
      </c>
      <c r="D24" s="14">
        <v>31</v>
      </c>
      <c r="E24" s="15">
        <v>394936.75</v>
      </c>
      <c r="F24" s="15">
        <v>44964.78</v>
      </c>
      <c r="G24" s="16">
        <v>11.39</v>
      </c>
      <c r="H24" s="68" t="s">
        <v>245</v>
      </c>
    </row>
    <row r="25" spans="1:8" ht="18" customHeight="1" x14ac:dyDescent="0.45">
      <c r="A25" s="2">
        <v>2025</v>
      </c>
      <c r="B25" s="14" t="s">
        <v>219</v>
      </c>
      <c r="C25" s="14" t="s">
        <v>246</v>
      </c>
      <c r="D25" s="14">
        <v>51</v>
      </c>
      <c r="E25" s="15">
        <v>744835.13</v>
      </c>
      <c r="F25" s="15">
        <v>90169.51</v>
      </c>
      <c r="G25" s="16">
        <v>12.11</v>
      </c>
      <c r="H25" s="70" t="s">
        <v>247</v>
      </c>
    </row>
    <row r="26" spans="1:8" ht="18" customHeight="1" x14ac:dyDescent="0.45">
      <c r="A26" s="2">
        <v>2025</v>
      </c>
      <c r="B26" s="14" t="s">
        <v>222</v>
      </c>
      <c r="C26" s="14" t="s">
        <v>248</v>
      </c>
      <c r="D26" s="14">
        <v>27</v>
      </c>
      <c r="E26" s="15">
        <v>246623.54</v>
      </c>
      <c r="F26" s="15">
        <v>24816.91</v>
      </c>
      <c r="G26" s="16">
        <v>10.06</v>
      </c>
      <c r="H26" s="71" t="s">
        <v>249</v>
      </c>
    </row>
    <row r="27" spans="1:8" ht="18" customHeight="1" x14ac:dyDescent="0.45">
      <c r="A27" s="2">
        <v>2025</v>
      </c>
      <c r="B27" s="14" t="s">
        <v>225</v>
      </c>
      <c r="C27" s="14" t="s">
        <v>250</v>
      </c>
      <c r="D27" s="14">
        <v>24</v>
      </c>
      <c r="E27" s="15">
        <v>416180.86</v>
      </c>
      <c r="F27" s="15">
        <v>48732.79</v>
      </c>
      <c r="G27" s="16">
        <v>11.71</v>
      </c>
      <c r="H27" s="70" t="s">
        <v>251</v>
      </c>
    </row>
    <row r="28" spans="1:8" ht="19.5" customHeight="1" x14ac:dyDescent="0.45">
      <c r="A28" s="30" t="s">
        <v>252</v>
      </c>
      <c r="B28" s="31" t="s">
        <v>253</v>
      </c>
      <c r="C28" s="31" t="s">
        <v>254</v>
      </c>
      <c r="D28" s="31">
        <v>900</v>
      </c>
      <c r="E28" s="32">
        <v>12376432.34</v>
      </c>
      <c r="F28" s="32">
        <v>1419342.24</v>
      </c>
      <c r="G28" s="33">
        <v>11.47</v>
      </c>
      <c r="H28" s="31" t="s">
        <v>133</v>
      </c>
    </row>
    <row r="30" spans="1:8" ht="19.5" customHeight="1" x14ac:dyDescent="0.45">
      <c r="A30" s="96" t="s">
        <v>255</v>
      </c>
      <c r="B30" s="96"/>
      <c r="C30" s="96"/>
      <c r="D30" s="96"/>
      <c r="E30" s="96"/>
      <c r="F30" s="96"/>
      <c r="G30" s="96"/>
      <c r="H30" s="96"/>
    </row>
    <row r="31" spans="1:8" ht="19.5" customHeight="1" x14ac:dyDescent="0.45">
      <c r="A31" s="1" t="s">
        <v>189</v>
      </c>
      <c r="B31" s="1" t="s">
        <v>256</v>
      </c>
      <c r="C31" s="1" t="s">
        <v>177</v>
      </c>
      <c r="D31" s="1" t="s">
        <v>44</v>
      </c>
      <c r="E31" s="1" t="s">
        <v>45</v>
      </c>
      <c r="F31" s="1" t="s">
        <v>257</v>
      </c>
      <c r="G31" s="1" t="s">
        <v>137</v>
      </c>
      <c r="H31" s="1" t="s">
        <v>258</v>
      </c>
    </row>
    <row r="32" spans="1:8" ht="19.5" customHeight="1" x14ac:dyDescent="0.45">
      <c r="A32" s="5">
        <v>2024</v>
      </c>
      <c r="B32" s="24">
        <v>12</v>
      </c>
      <c r="C32" s="24">
        <v>487</v>
      </c>
      <c r="D32" s="25">
        <v>6378906.4699999997</v>
      </c>
      <c r="E32" s="25">
        <v>721391.15</v>
      </c>
      <c r="F32" s="25">
        <v>531575.54</v>
      </c>
      <c r="G32" s="26">
        <v>11.31</v>
      </c>
      <c r="H32" s="5" t="s">
        <v>201</v>
      </c>
    </row>
    <row r="33" spans="1:8" ht="19.5" customHeight="1" x14ac:dyDescent="0.45">
      <c r="A33" s="2">
        <v>2025</v>
      </c>
      <c r="B33" s="14">
        <v>12</v>
      </c>
      <c r="C33" s="14">
        <v>413</v>
      </c>
      <c r="D33" s="15">
        <v>5997525.8700000001</v>
      </c>
      <c r="E33" s="15">
        <v>697951.09</v>
      </c>
      <c r="F33" s="15">
        <v>499793.82</v>
      </c>
      <c r="G33" s="16">
        <v>11.64</v>
      </c>
      <c r="H33" s="2" t="s">
        <v>193</v>
      </c>
    </row>
  </sheetData>
  <mergeCells count="3">
    <mergeCell ref="A1:H1"/>
    <mergeCell ref="A2:H2"/>
    <mergeCell ref="A30:H30"/>
  </mergeCells>
  <conditionalFormatting sqref="E4:E27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Index</vt:lpstr>
      <vt:lpstr>P1. By Region</vt:lpstr>
      <vt:lpstr>P2. Cat &amp; SubCat</vt:lpstr>
      <vt:lpstr>P3. Ship Mode</vt:lpstr>
      <vt:lpstr>P4. Segment Margin</vt:lpstr>
      <vt:lpstr>P5. Non-Revenue</vt:lpstr>
      <vt:lpstr>P6. 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Gayatri Vasudevan</cp:lastModifiedBy>
  <cp:revision>0</cp:revision>
  <dcterms:created xsi:type="dcterms:W3CDTF">2026-06-17T09:26:39Z</dcterms:created>
  <dcterms:modified xsi:type="dcterms:W3CDTF">2026-06-17T16:45:58Z</dcterms:modified>
  <dc:language>en-US</dc:language>
</cp:coreProperties>
</file>